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icardoCastellanos\Dashboard_CGTGE\Dashboard_CGTGEv2\"/>
    </mc:Choice>
  </mc:AlternateContent>
  <xr:revisionPtr revIDLastSave="0" documentId="13_ncr:1_{08C2F02B-279E-4D47-BAF0-9D2B84A2AC29}" xr6:coauthVersionLast="47" xr6:coauthVersionMax="47" xr10:uidLastSave="{00000000-0000-0000-0000-000000000000}"/>
  <bookViews>
    <workbookView xWindow="-120" yWindow="-120" windowWidth="29040" windowHeight="15720" xr2:uid="{00DE14E8-8AF3-42BB-A8D4-8B95AF79C60A}"/>
  </bookViews>
  <sheets>
    <sheet name="Hoja1" sheetId="1" r:id="rId1"/>
  </sheets>
  <definedNames>
    <definedName name="_xlnm._FilterDatabase" localSheetId="0" hidden="1">Hoja1!$A$1:$R$55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51" i="1" l="1"/>
  <c r="Q52" i="1"/>
  <c r="Q53" i="1"/>
  <c r="Q54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2" i="1"/>
</calcChain>
</file>

<file path=xl/sharedStrings.xml><?xml version="1.0" encoding="utf-8"?>
<sst xmlns="http://schemas.openxmlformats.org/spreadsheetml/2006/main" count="613" uniqueCount="73">
  <si>
    <t>Definición</t>
  </si>
  <si>
    <t>Periodicidad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</si>
  <si>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</si>
  <si>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</si>
  <si>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</si>
  <si>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</si>
  <si>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</si>
  <si>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</si>
  <si>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</si>
  <si>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</si>
  <si>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</si>
  <si>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</si>
  <si>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</si>
  <si>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</si>
  <si>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Tasa de titulación de estudiantes del último año de Bachillerato.</t>
  </si>
  <si>
    <t>Viceministerio de Gestión Educativa</t>
  </si>
  <si>
    <t>Dirección de Bachillerato</t>
  </si>
  <si>
    <t>Porcentaje de estudiantes matriculados en tercero de Bachillerato que, en el mismo año lectivo y conforme al corte oficial, culminan satisfactoriamente los requisitos académicos y administrativos y obtienen el título de Bachiller dentro del Sistema Nacional de Educación.</t>
  </si>
  <si>
    <t>Porcentaje</t>
  </si>
  <si>
    <t>Titulados- Gestión, Inscripción y Admisión - GIA</t>
  </si>
  <si>
    <t>Anual</t>
  </si>
  <si>
    <t>Se reporta el resultado del indicador en diciembre del año 2026, correpondiente al año lectivo 2025-2026</t>
  </si>
  <si>
    <t>Número de niñas y niños de 3 y 4 años atendidos en el Servicio de Atención Familiar para la Primera Infancia -SAFPI</t>
  </si>
  <si>
    <t>Dirección de Educación Inicial y Básica</t>
  </si>
  <si>
    <t>Número total de niños y niñas de 3 y 4 años atendidos a través del Servicio de Atención Familiar para la Primera Infancia - SAFPI, del régimen costa y sierra; en un periodo (t).</t>
  </si>
  <si>
    <t>Número</t>
  </si>
  <si>
    <t>Servicio de Atención Familiar para la Primera Infancia -SAFPI</t>
  </si>
  <si>
    <t>Semestral</t>
  </si>
  <si>
    <t>Número total de estudiantes de 8 a 15 años de edad con rezago o desfase escolar en el nivel de Educación General Básica (EGB) atendidos mediante el servicio de Nivelación y Aceleración Pedagógica (NAP).</t>
  </si>
  <si>
    <t>Registros Administrativos - Dirección de Inicial y Básica</t>
  </si>
  <si>
    <t>Viceministerio de Educación</t>
  </si>
  <si>
    <t>Dirección de Nacional de Carrera Profesional Educativa</t>
  </si>
  <si>
    <t xml:space="preserve">Mide el porcentaje de cobertura de la planta docente necesaria en las instituciones educativas de sostenimiento fiscal, mediante la relación entre el total de docentes registrados a la fecha de corte y el total de docentes necesarios, determinado a partir de la planta docente registrada y la brecha docente identificada. </t>
  </si>
  <si>
    <t>Mensual</t>
  </si>
  <si>
    <t xml:space="preserve">Número de establecimientos educativos fiscales que tienen conectivdad </t>
  </si>
  <si>
    <t>Coordinación General de Tecnologías de la Información y Comunicación</t>
  </si>
  <si>
    <t>Dirección de soporte Técnico</t>
  </si>
  <si>
    <t>Mide el número de establecimientos fiscales en condiciones adecuadas que cuentan con servicios de conectividad, como resultado de las acciones implementadas para fortalecer el acceso a recursos tecnológicos y promover la transformación digital en el ámbito educativo, durante un período determinado.</t>
  </si>
  <si>
    <t>Matriz conectividad - Dirección de Soporte Técnico</t>
  </si>
  <si>
    <t>En enero del año 2027 se reportara la información del mes de diciembre del año 2026</t>
  </si>
  <si>
    <t>KPI´s Estratégicos</t>
  </si>
  <si>
    <t>TIPO INDICADOR</t>
  </si>
  <si>
    <t>NOMBRE DEL INDICADOR</t>
  </si>
  <si>
    <t>VICEMINISTERIO</t>
  </si>
  <si>
    <t>ENCARGADO</t>
  </si>
  <si>
    <t>Unidad de medida</t>
  </si>
  <si>
    <t>Fuente de datos</t>
  </si>
  <si>
    <t>Año</t>
  </si>
  <si>
    <t>Mes</t>
  </si>
  <si>
    <t>Línea base</t>
  </si>
  <si>
    <t>Meta</t>
  </si>
  <si>
    <t>Estimador</t>
  </si>
  <si>
    <t>Numerador</t>
  </si>
  <si>
    <t>Denominador</t>
  </si>
  <si>
    <t>Alerta</t>
  </si>
  <si>
    <t>Observación</t>
  </si>
  <si>
    <t>Brecha docente del sostenimiento fiscal</t>
  </si>
  <si>
    <t>Brecha docente Dirección de Carrera Profesional</t>
  </si>
  <si>
    <t>Fecha de Transferencia</t>
  </si>
  <si>
    <t>Transferencia semestral: 
Primer semestre 2026, primera semana de julio 2026; 
Segundo semestre 2026, primera semana de enero del 2027.</t>
  </si>
  <si>
    <t>Fórmula de calculo</t>
  </si>
  <si>
    <t>Fecha de corte</t>
  </si>
  <si>
    <t>\textbf{Fórmula:}
$$
T.Niños\_SAFPI_{(3-4\ años)}(t)
=
\sum Niños\_SAFPI_{(3-4\ años)}(t)
$$
\textbf{Donde:}
$T.Niños\_SAFPI_{(3-4\ años)}(t)$: Total de niños y niñas de 3 y 4 años atendidos por el SAFPI en un período $t$.
$\sum Niños\_SAFPI_{(3-4\ años)}(t)$: Sumatoria de niños y niñas de 3 y 4 años atendidos por el SAFPI en un período $t$.</t>
  </si>
  <si>
    <t>\textbf{Fórmula:}
$$
CD
=
\frac{DR}{DN}
\times 100
$$
\textbf{Donde:}
$CD$: Cobertura docente.
$DR$: Total de docentes registrados en instituciones educativas de sostenimiento fiscal.
$DN$: Total de docentes necesarios en instituciones educativas de sostenimiento fiscal.
Para determinar el total de docentes necesarios se utiliza:
$$
DN = DR + BD
$$
$BD$: Brecha docente identificada.</t>
  </si>
  <si>
    <t xml:space="preserve">Mensual </t>
  </si>
  <si>
    <t>\textbf{Fórmula:}
$$
NEFCD_t = \sum EFCD_t
$$</t>
  </si>
  <si>
    <t>Número de estudiantes atendidos por el servicio de Nivelación y Aceleración Pedagógica.</t>
  </si>
  <si>
    <t>Transferencia semestral:
Primer semestre 2026, primera semana de julio 2026;
Segundo semestre 2026, primera semana de enero del 2027.</t>
  </si>
  <si>
    <t>\textbf{Fórmula:}
$$
TANAP_{EGB(8\text{-}15\text{ años})}(t)
=
\sum_{i=1}^{n}
ENAP_{EGB(8\text{-}15\text{ años})}(t)
$$
\textbf{Dónde:}
$TANAP_{EGB(8\text{-}15\text{ años})}(t)$: Número total de estudiantes de 8 a 15 años de edad con rezago o desfase escolar en el nivel de Educación General Básica (EGB), atendidos mediante el servicio de Nivelación y Aceleración Pedagógica (NAP), en un período $t$.
$ENAP_{EGB(8\text{-}15\text{ años})}(t)$: Estudiantes de 8 a 15 años con rezago o desfase escolar del nivel de Educación General Básica (EGB), atendidos mediante el servicio de Nivelación y Aceleración Pedagógica en un período $t$.</t>
  </si>
  <si>
    <t>2024-2025</t>
  </si>
  <si>
    <t>2025-2026</t>
  </si>
  <si>
    <t>Diciembre de cada año</t>
  </si>
  <si>
    <t xml:space="preserve">Mensualmente (los 5 primeros días de cada mes)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</si>
</sst>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sz val="8"/>
      <name val="Aptos Narrow"/>
      <family val="2"/>
      <scheme val="minor"/>
    </font>
    <font>
      <sz val="12"/>
      <color rgb="FF000000"/>
      <name val="Barlow Condensed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2" fillId="3" borderId="2" xfId="0" applyNumberFormat="1" applyFont="1" applyFill="1" applyBorder="1" applyAlignment="1">
      <alignment horizontal="center" vertical="center" wrapText="1" readingOrder="1"/>
    </xf>
    <xf numFmtId="0" fontId="1" fillId="2" borderId="2" xfId="0" applyFont="1" applyFill="1" applyBorder="1"/>
    <xf numFmtId="0" fontId="0" fillId="0" borderId="0" xfId="0" applyAlignment="1">
      <alignment wrapText="1"/>
    </xf>
    <xf numFmtId="0" fontId="1" fillId="2" borderId="1" xfId="0" applyFont="1" applyFill="1" applyBorder="1"/>
    <xf numFmtId="3" fontId="0" fillId="0" borderId="0" xfId="0" applyNumberFormat="1"/>
    <xf numFmtId="0" fontId="4" fillId="0" borderId="0" xfId="0" applyFont="1"/>
    <xf numFmtId="0" fontId="5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1120140</xdr:colOff>
      <xdr:row>0</xdr:row>
      <xdr:rowOff>0</xdr:rowOff>
    </xdr:from>
    <xdr:to>
      <xdr:col>11</xdr:col>
      <xdr:colOff>34290</xdr:colOff>
      <xdr:row>0</xdr:row>
      <xdr:rowOff>161925</xdr:rowOff>
    </xdr:to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FF882888-161D-4DDB-8E5B-47CC34125CB4}"/>
            </a:ext>
          </a:extLst>
        </xdr:cNvPr>
        <xdr:cNvSpPr txBox="1">
          <a:spLocks noChangeArrowheads="1"/>
        </xdr:cNvSpPr>
      </xdr:nvSpPr>
      <xdr:spPr bwMode="auto">
        <a:xfrm>
          <a:off x="14940915" y="4800600"/>
          <a:ext cx="38100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10</xdr:col>
      <xdr:colOff>1062567</xdr:colOff>
      <xdr:row>0</xdr:row>
      <xdr:rowOff>0</xdr:rowOff>
    </xdr:from>
    <xdr:to>
      <xdr:col>11</xdr:col>
      <xdr:colOff>33867</xdr:colOff>
      <xdr:row>15</xdr:row>
      <xdr:rowOff>4408170</xdr:rowOff>
    </xdr:to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1BE51065-CAC5-4086-B437-9C242009E917}"/>
            </a:ext>
          </a:extLst>
        </xdr:cNvPr>
        <xdr:cNvSpPr txBox="1">
          <a:spLocks noChangeArrowheads="1"/>
        </xdr:cNvSpPr>
      </xdr:nvSpPr>
      <xdr:spPr bwMode="auto">
        <a:xfrm>
          <a:off x="14883342" y="6619875"/>
          <a:ext cx="3810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14349-03B2-4199-98F8-73D57783E795}">
  <sheetPr filterMode="1"/>
  <dimension ref="A1:T55"/>
  <sheetViews>
    <sheetView tabSelected="1" topLeftCell="E23" workbookViewId="0">
      <selection activeCell="O22" sqref="O22"/>
    </sheetView>
  </sheetViews>
  <sheetFormatPr baseColWidth="10" defaultRowHeight="15" x14ac:dyDescent="0.25"/>
  <cols>
    <col min="1" max="1" width="18.7109375" bestFit="1" customWidth="1"/>
    <col min="2" max="2" width="129.85546875" bestFit="1" customWidth="1"/>
    <col min="3" max="3" width="66" bestFit="1" customWidth="1"/>
    <col min="4" max="4" width="50.7109375" bestFit="1" customWidth="1"/>
    <col min="5" max="5" width="255.7109375" bestFit="1" customWidth="1"/>
    <col min="6" max="6" width="19.5703125" bestFit="1" customWidth="1"/>
    <col min="7" max="7" width="55.42578125" bestFit="1" customWidth="1"/>
    <col min="8" max="8" width="14.5703125" bestFit="1" customWidth="1"/>
    <col min="9" max="9" width="14.5703125" customWidth="1"/>
    <col min="10" max="10" width="6.7109375" bestFit="1" customWidth="1"/>
    <col min="11" max="11" width="10.85546875" bestFit="1" customWidth="1"/>
    <col min="12" max="12" width="12.85546875" bestFit="1" customWidth="1"/>
    <col min="13" max="13" width="10.140625" bestFit="1" customWidth="1"/>
    <col min="14" max="14" width="12.42578125" bestFit="1" customWidth="1"/>
    <col min="15" max="15" width="13.42578125" bestFit="1" customWidth="1"/>
    <col min="16" max="16" width="15.5703125" bestFit="1" customWidth="1"/>
    <col min="17" max="17" width="8.5703125" bestFit="1" customWidth="1"/>
    <col min="18" max="18" width="94.140625" bestFit="1" customWidth="1"/>
  </cols>
  <sheetData>
    <row r="1" spans="1:20" x14ac:dyDescent="0.25">
      <c r="A1" s="2" t="s">
        <v>41</v>
      </c>
      <c r="B1" s="2" t="s">
        <v>42</v>
      </c>
      <c r="C1" s="2" t="s">
        <v>43</v>
      </c>
      <c r="D1" s="2" t="s">
        <v>44</v>
      </c>
      <c r="E1" s="2" t="s">
        <v>0</v>
      </c>
      <c r="F1" s="2" t="s">
        <v>45</v>
      </c>
      <c r="G1" s="2" t="s">
        <v>46</v>
      </c>
      <c r="H1" s="2" t="s">
        <v>1</v>
      </c>
      <c r="I1" s="2" t="s">
        <v>58</v>
      </c>
      <c r="J1" s="2" t="s">
        <v>47</v>
      </c>
      <c r="K1" s="2" t="s">
        <v>48</v>
      </c>
      <c r="L1" s="2" t="s">
        <v>49</v>
      </c>
      <c r="M1" s="2" t="s">
        <v>50</v>
      </c>
      <c r="N1" s="2" t="s">
        <v>51</v>
      </c>
      <c r="O1" s="2" t="s">
        <v>52</v>
      </c>
      <c r="P1" s="2" t="s">
        <v>53</v>
      </c>
      <c r="Q1" s="2" t="s">
        <v>54</v>
      </c>
      <c r="R1" s="2" t="s">
        <v>55</v>
      </c>
      <c r="S1" s="4" t="s">
        <v>60</v>
      </c>
      <c r="T1" s="4" t="s">
        <v>61</v>
      </c>
    </row>
    <row r="2" spans="1:20" ht="409.5" hidden="1" x14ac:dyDescent="0.25">
      <c r="A2" t="s">
        <v>40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s="7" t="s">
        <v>71</v>
      </c>
      <c r="J2" t="s">
        <v>69</v>
      </c>
      <c r="L2">
        <v>97.02</v>
      </c>
      <c r="Q2" t="str">
        <f>IF(N2="","",IF(N2&gt;M2,"Cumplimiento sobre la meta",IF(M2=N2,"Cumpliento igual a la meta",IF(N2&lt;M2,"Incumplimiento de meta"))))</f>
        <v/>
      </c>
      <c r="R2" t="s">
        <v>21</v>
      </c>
      <c r="S2" s="3" t="s">
        <v>68</v>
      </c>
    </row>
    <row r="3" spans="1:20" ht="409.5" hidden="1" x14ac:dyDescent="0.25">
      <c r="A3" t="s">
        <v>40</v>
      </c>
      <c r="B3" t="s">
        <v>22</v>
      </c>
      <c r="C3" t="s">
        <v>15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s="3" t="s">
        <v>59</v>
      </c>
      <c r="J3">
        <v>2025</v>
      </c>
      <c r="K3" t="s">
        <v>13</v>
      </c>
      <c r="L3" s="5">
        <v>20564</v>
      </c>
      <c r="Q3" t="str">
        <f t="shared" ref="Q3:Q54" si="0">IF(N3="","",IF(N3&gt;M3,"Cumplimiento sobre la meta",IF(M3=N3,"Cumpliento igual a la meta",IF(N3&lt;M3,"Incumplimiento de meta"))))</f>
        <v/>
      </c>
      <c r="S3" s="3" t="s">
        <v>62</v>
      </c>
    </row>
    <row r="4" spans="1:20" ht="409.5" hidden="1" x14ac:dyDescent="0.25">
      <c r="A4" t="s">
        <v>40</v>
      </c>
      <c r="B4" t="s">
        <v>22</v>
      </c>
      <c r="C4" t="s">
        <v>15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s="3" t="s">
        <v>59</v>
      </c>
      <c r="J4">
        <v>2026</v>
      </c>
      <c r="K4" t="s">
        <v>2</v>
      </c>
      <c r="Q4" t="str">
        <f t="shared" si="0"/>
        <v/>
      </c>
      <c r="S4" s="3" t="s">
        <v>62</v>
      </c>
    </row>
    <row r="5" spans="1:20" ht="409.5" hidden="1" x14ac:dyDescent="0.25">
      <c r="A5" t="s">
        <v>40</v>
      </c>
      <c r="B5" t="s">
        <v>22</v>
      </c>
      <c r="C5" t="s">
        <v>15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  <c r="I5" s="3" t="s">
        <v>59</v>
      </c>
      <c r="J5">
        <v>2026</v>
      </c>
      <c r="K5" t="s">
        <v>3</v>
      </c>
      <c r="Q5" t="str">
        <f t="shared" si="0"/>
        <v/>
      </c>
      <c r="S5" s="3" t="s">
        <v>62</v>
      </c>
    </row>
    <row r="6" spans="1:20" ht="409.5" hidden="1" x14ac:dyDescent="0.25">
      <c r="A6" t="s">
        <v>40</v>
      </c>
      <c r="B6" t="s">
        <v>22</v>
      </c>
      <c r="C6" t="s">
        <v>15</v>
      </c>
      <c r="D6" t="s">
        <v>23</v>
      </c>
      <c r="E6" t="s">
        <v>24</v>
      </c>
      <c r="F6" t="s">
        <v>25</v>
      </c>
      <c r="G6" t="s">
        <v>26</v>
      </c>
      <c r="H6" t="s">
        <v>27</v>
      </c>
      <c r="I6" s="3" t="s">
        <v>59</v>
      </c>
      <c r="J6">
        <v>2026</v>
      </c>
      <c r="K6" t="s">
        <v>4</v>
      </c>
      <c r="Q6" t="str">
        <f t="shared" si="0"/>
        <v/>
      </c>
      <c r="S6" s="3" t="s">
        <v>62</v>
      </c>
    </row>
    <row r="7" spans="1:20" ht="409.5" hidden="1" x14ac:dyDescent="0.25">
      <c r="A7" t="s">
        <v>40</v>
      </c>
      <c r="B7" t="s">
        <v>22</v>
      </c>
      <c r="C7" t="s">
        <v>15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s="3" t="s">
        <v>59</v>
      </c>
      <c r="J7">
        <v>2026</v>
      </c>
      <c r="K7" t="s">
        <v>5</v>
      </c>
      <c r="Q7" t="str">
        <f t="shared" si="0"/>
        <v/>
      </c>
      <c r="S7" s="3" t="s">
        <v>62</v>
      </c>
    </row>
    <row r="8" spans="1:20" ht="409.5" hidden="1" x14ac:dyDescent="0.25">
      <c r="A8" t="s">
        <v>40</v>
      </c>
      <c r="B8" t="s">
        <v>22</v>
      </c>
      <c r="C8" t="s">
        <v>15</v>
      </c>
      <c r="D8" t="s">
        <v>23</v>
      </c>
      <c r="E8" t="s">
        <v>24</v>
      </c>
      <c r="F8" t="s">
        <v>25</v>
      </c>
      <c r="G8" t="s">
        <v>26</v>
      </c>
      <c r="H8" t="s">
        <v>27</v>
      </c>
      <c r="I8" s="3" t="s">
        <v>59</v>
      </c>
      <c r="J8">
        <v>2026</v>
      </c>
      <c r="K8" t="s">
        <v>6</v>
      </c>
      <c r="Q8" t="str">
        <f t="shared" si="0"/>
        <v/>
      </c>
      <c r="S8" s="3" t="s">
        <v>62</v>
      </c>
    </row>
    <row r="9" spans="1:20" ht="409.5" hidden="1" x14ac:dyDescent="0.25">
      <c r="A9" t="s">
        <v>40</v>
      </c>
      <c r="B9" t="s">
        <v>22</v>
      </c>
      <c r="C9" t="s">
        <v>15</v>
      </c>
      <c r="D9" t="s">
        <v>23</v>
      </c>
      <c r="E9" t="s">
        <v>24</v>
      </c>
      <c r="F9" t="s">
        <v>25</v>
      </c>
      <c r="G9" t="s">
        <v>26</v>
      </c>
      <c r="H9" t="s">
        <v>27</v>
      </c>
      <c r="I9" s="3" t="s">
        <v>59</v>
      </c>
      <c r="J9">
        <v>2026</v>
      </c>
      <c r="K9" t="s">
        <v>7</v>
      </c>
      <c r="M9" s="5">
        <v>9801</v>
      </c>
      <c r="N9" s="5">
        <v>10898</v>
      </c>
      <c r="Q9" t="str">
        <f t="shared" si="0"/>
        <v>Cumplimiento sobre la meta</v>
      </c>
      <c r="S9" s="3" t="s">
        <v>62</v>
      </c>
    </row>
    <row r="10" spans="1:20" ht="409.5" hidden="1" x14ac:dyDescent="0.25">
      <c r="A10" t="s">
        <v>40</v>
      </c>
      <c r="B10" t="s">
        <v>22</v>
      </c>
      <c r="C10" t="s">
        <v>15</v>
      </c>
      <c r="D10" t="s">
        <v>23</v>
      </c>
      <c r="E10" t="s">
        <v>24</v>
      </c>
      <c r="F10" t="s">
        <v>25</v>
      </c>
      <c r="G10" t="s">
        <v>26</v>
      </c>
      <c r="H10" t="s">
        <v>27</v>
      </c>
      <c r="I10" s="3" t="s">
        <v>59</v>
      </c>
      <c r="J10">
        <v>2026</v>
      </c>
      <c r="K10" t="s">
        <v>8</v>
      </c>
      <c r="Q10" t="str">
        <f t="shared" si="0"/>
        <v/>
      </c>
      <c r="S10" s="3" t="s">
        <v>62</v>
      </c>
    </row>
    <row r="11" spans="1:20" ht="409.5" hidden="1" x14ac:dyDescent="0.25">
      <c r="A11" t="s">
        <v>40</v>
      </c>
      <c r="B11" t="s">
        <v>22</v>
      </c>
      <c r="C11" t="s">
        <v>15</v>
      </c>
      <c r="D11" t="s">
        <v>23</v>
      </c>
      <c r="E11" t="s">
        <v>24</v>
      </c>
      <c r="F11" t="s">
        <v>25</v>
      </c>
      <c r="G11" t="s">
        <v>26</v>
      </c>
      <c r="H11" t="s">
        <v>27</v>
      </c>
      <c r="I11" s="3" t="s">
        <v>59</v>
      </c>
      <c r="J11">
        <v>2026</v>
      </c>
      <c r="K11" t="s">
        <v>9</v>
      </c>
      <c r="Q11" t="str">
        <f t="shared" si="0"/>
        <v/>
      </c>
      <c r="S11" s="3" t="s">
        <v>62</v>
      </c>
    </row>
    <row r="12" spans="1:20" ht="409.5" hidden="1" x14ac:dyDescent="0.25">
      <c r="A12" t="s">
        <v>40</v>
      </c>
      <c r="B12" t="s">
        <v>22</v>
      </c>
      <c r="C12" t="s">
        <v>15</v>
      </c>
      <c r="D12" t="s">
        <v>23</v>
      </c>
      <c r="E12" t="s">
        <v>24</v>
      </c>
      <c r="F12" t="s">
        <v>25</v>
      </c>
      <c r="G12" t="s">
        <v>26</v>
      </c>
      <c r="H12" t="s">
        <v>27</v>
      </c>
      <c r="I12" s="3" t="s">
        <v>59</v>
      </c>
      <c r="J12">
        <v>2026</v>
      </c>
      <c r="K12" t="s">
        <v>10</v>
      </c>
      <c r="Q12" t="str">
        <f t="shared" si="0"/>
        <v/>
      </c>
      <c r="S12" s="3" t="s">
        <v>62</v>
      </c>
    </row>
    <row r="13" spans="1:20" ht="409.5" hidden="1" x14ac:dyDescent="0.25">
      <c r="A13" t="s">
        <v>40</v>
      </c>
      <c r="B13" t="s">
        <v>22</v>
      </c>
      <c r="C13" t="s">
        <v>15</v>
      </c>
      <c r="D13" t="s">
        <v>23</v>
      </c>
      <c r="E13" t="s">
        <v>24</v>
      </c>
      <c r="F13" t="s">
        <v>25</v>
      </c>
      <c r="G13" t="s">
        <v>26</v>
      </c>
      <c r="H13" t="s">
        <v>27</v>
      </c>
      <c r="I13" s="3" t="s">
        <v>59</v>
      </c>
      <c r="J13">
        <v>2026</v>
      </c>
      <c r="K13" t="s">
        <v>11</v>
      </c>
      <c r="Q13" t="str">
        <f t="shared" si="0"/>
        <v/>
      </c>
      <c r="S13" s="3" t="s">
        <v>62</v>
      </c>
    </row>
    <row r="14" spans="1:20" ht="409.5" hidden="1" x14ac:dyDescent="0.25">
      <c r="A14" t="s">
        <v>40</v>
      </c>
      <c r="B14" t="s">
        <v>22</v>
      </c>
      <c r="C14" t="s">
        <v>15</v>
      </c>
      <c r="D14" t="s">
        <v>23</v>
      </c>
      <c r="E14" t="s">
        <v>24</v>
      </c>
      <c r="F14" t="s">
        <v>25</v>
      </c>
      <c r="G14" t="s">
        <v>26</v>
      </c>
      <c r="H14" t="s">
        <v>27</v>
      </c>
      <c r="I14" s="3" t="s">
        <v>59</v>
      </c>
      <c r="J14">
        <v>2026</v>
      </c>
      <c r="K14" t="s">
        <v>12</v>
      </c>
      <c r="Q14" t="str">
        <f t="shared" si="0"/>
        <v/>
      </c>
      <c r="S14" s="3" t="s">
        <v>62</v>
      </c>
    </row>
    <row r="15" spans="1:20" ht="409.5" hidden="1" x14ac:dyDescent="0.25">
      <c r="A15" t="s">
        <v>40</v>
      </c>
      <c r="B15" t="s">
        <v>22</v>
      </c>
      <c r="C15" t="s">
        <v>15</v>
      </c>
      <c r="D15" t="s">
        <v>23</v>
      </c>
      <c r="E15" t="s">
        <v>24</v>
      </c>
      <c r="F15" t="s">
        <v>25</v>
      </c>
      <c r="G15" t="s">
        <v>26</v>
      </c>
      <c r="H15" t="s">
        <v>27</v>
      </c>
      <c r="I15" s="3" t="s">
        <v>59</v>
      </c>
      <c r="J15">
        <v>2026</v>
      </c>
      <c r="K15" t="s">
        <v>13</v>
      </c>
      <c r="M15" s="1">
        <v>20813</v>
      </c>
      <c r="Q15" t="str">
        <f t="shared" si="0"/>
        <v/>
      </c>
      <c r="S15" s="3" t="s">
        <v>62</v>
      </c>
    </row>
    <row r="16" spans="1:20" ht="409.6" x14ac:dyDescent="0.3">
      <c r="A16" t="s">
        <v>40</v>
      </c>
      <c r="B16" s="6" t="s">
        <v>66</v>
      </c>
      <c r="C16" t="s">
        <v>15</v>
      </c>
      <c r="D16" t="s">
        <v>23</v>
      </c>
      <c r="E16" t="s">
        <v>28</v>
      </c>
      <c r="F16" t="s">
        <v>25</v>
      </c>
      <c r="G16" t="s">
        <v>29</v>
      </c>
      <c r="H16" t="s">
        <v>27</v>
      </c>
      <c r="I16" s="3" t="s">
        <v>67</v>
      </c>
      <c r="J16">
        <v>2025</v>
      </c>
      <c r="K16" t="s">
        <v>13</v>
      </c>
      <c r="L16" s="5">
        <v>7812</v>
      </c>
      <c r="Q16" t="str">
        <f t="shared" si="0"/>
        <v/>
      </c>
      <c r="S16" s="3" t="s">
        <v>68</v>
      </c>
    </row>
    <row r="17" spans="1:19" ht="409.6" x14ac:dyDescent="0.3">
      <c r="A17" t="s">
        <v>40</v>
      </c>
      <c r="B17" s="6" t="s">
        <v>66</v>
      </c>
      <c r="C17" t="s">
        <v>15</v>
      </c>
      <c r="D17" t="s">
        <v>23</v>
      </c>
      <c r="E17" t="s">
        <v>28</v>
      </c>
      <c r="F17" t="s">
        <v>25</v>
      </c>
      <c r="G17" t="s">
        <v>29</v>
      </c>
      <c r="H17" t="s">
        <v>27</v>
      </c>
      <c r="I17" s="3" t="s">
        <v>67</v>
      </c>
      <c r="J17">
        <v>2026</v>
      </c>
      <c r="K17" t="s">
        <v>2</v>
      </c>
      <c r="Q17" t="str">
        <f t="shared" si="0"/>
        <v/>
      </c>
      <c r="S17" s="3" t="s">
        <v>68</v>
      </c>
    </row>
    <row r="18" spans="1:19" ht="409.6" x14ac:dyDescent="0.3">
      <c r="A18" t="s">
        <v>40</v>
      </c>
      <c r="B18" s="6" t="s">
        <v>66</v>
      </c>
      <c r="C18" t="s">
        <v>15</v>
      </c>
      <c r="D18" t="s">
        <v>23</v>
      </c>
      <c r="E18" t="s">
        <v>28</v>
      </c>
      <c r="F18" t="s">
        <v>25</v>
      </c>
      <c r="G18" t="s">
        <v>29</v>
      </c>
      <c r="H18" t="s">
        <v>27</v>
      </c>
      <c r="I18" s="3" t="s">
        <v>67</v>
      </c>
      <c r="J18">
        <v>2026</v>
      </c>
      <c r="K18" t="s">
        <v>3</v>
      </c>
      <c r="Q18" t="str">
        <f t="shared" si="0"/>
        <v/>
      </c>
      <c r="S18" s="3" t="s">
        <v>68</v>
      </c>
    </row>
    <row r="19" spans="1:19" ht="409.6" x14ac:dyDescent="0.3">
      <c r="A19" t="s">
        <v>40</v>
      </c>
      <c r="B19" s="6" t="s">
        <v>66</v>
      </c>
      <c r="C19" t="s">
        <v>15</v>
      </c>
      <c r="D19" t="s">
        <v>23</v>
      </c>
      <c r="E19" t="s">
        <v>28</v>
      </c>
      <c r="F19" t="s">
        <v>25</v>
      </c>
      <c r="G19" t="s">
        <v>29</v>
      </c>
      <c r="H19" t="s">
        <v>27</v>
      </c>
      <c r="I19" s="3" t="s">
        <v>67</v>
      </c>
      <c r="J19">
        <v>2026</v>
      </c>
      <c r="K19" t="s">
        <v>4</v>
      </c>
      <c r="Q19" t="str">
        <f t="shared" si="0"/>
        <v/>
      </c>
      <c r="S19" s="3" t="s">
        <v>68</v>
      </c>
    </row>
    <row r="20" spans="1:19" ht="409.6" x14ac:dyDescent="0.3">
      <c r="A20" t="s">
        <v>40</v>
      </c>
      <c r="B20" s="6" t="s">
        <v>66</v>
      </c>
      <c r="C20" t="s">
        <v>15</v>
      </c>
      <c r="D20" t="s">
        <v>23</v>
      </c>
      <c r="E20" t="s">
        <v>28</v>
      </c>
      <c r="F20" t="s">
        <v>25</v>
      </c>
      <c r="G20" t="s">
        <v>29</v>
      </c>
      <c r="H20" t="s">
        <v>27</v>
      </c>
      <c r="I20" s="3" t="s">
        <v>67</v>
      </c>
      <c r="J20">
        <v>2026</v>
      </c>
      <c r="K20" t="s">
        <v>5</v>
      </c>
      <c r="Q20" t="str">
        <f t="shared" si="0"/>
        <v/>
      </c>
      <c r="S20" s="3" t="s">
        <v>68</v>
      </c>
    </row>
    <row r="21" spans="1:19" ht="409.6" x14ac:dyDescent="0.3">
      <c r="A21" t="s">
        <v>40</v>
      </c>
      <c r="B21" s="6" t="s">
        <v>66</v>
      </c>
      <c r="C21" t="s">
        <v>15</v>
      </c>
      <c r="D21" t="s">
        <v>23</v>
      </c>
      <c r="E21" t="s">
        <v>28</v>
      </c>
      <c r="F21" t="s">
        <v>25</v>
      </c>
      <c r="G21" t="s">
        <v>29</v>
      </c>
      <c r="H21" t="s">
        <v>27</v>
      </c>
      <c r="I21" s="3" t="s">
        <v>67</v>
      </c>
      <c r="J21">
        <v>2026</v>
      </c>
      <c r="K21" t="s">
        <v>6</v>
      </c>
      <c r="Q21" t="str">
        <f t="shared" si="0"/>
        <v/>
      </c>
      <c r="S21" s="3" t="s">
        <v>68</v>
      </c>
    </row>
    <row r="22" spans="1:19" ht="409.6" x14ac:dyDescent="0.3">
      <c r="A22" t="s">
        <v>40</v>
      </c>
      <c r="B22" s="6" t="s">
        <v>66</v>
      </c>
      <c r="C22" t="s">
        <v>15</v>
      </c>
      <c r="D22" t="s">
        <v>23</v>
      </c>
      <c r="E22" t="s">
        <v>28</v>
      </c>
      <c r="F22" t="s">
        <v>25</v>
      </c>
      <c r="G22" t="s">
        <v>29</v>
      </c>
      <c r="H22" t="s">
        <v>27</v>
      </c>
      <c r="I22" s="3" t="s">
        <v>67</v>
      </c>
      <c r="J22">
        <v>2026</v>
      </c>
      <c r="K22" t="s">
        <v>7</v>
      </c>
      <c r="M22" s="5">
        <v>4740</v>
      </c>
      <c r="N22" s="5">
        <v>5164</v>
      </c>
      <c r="Q22" t="str">
        <f t="shared" si="0"/>
        <v>Cumplimiento sobre la meta</v>
      </c>
      <c r="S22" s="3" t="s">
        <v>68</v>
      </c>
    </row>
    <row r="23" spans="1:19" ht="409.6" x14ac:dyDescent="0.3">
      <c r="A23" t="s">
        <v>40</v>
      </c>
      <c r="B23" s="6" t="s">
        <v>66</v>
      </c>
      <c r="C23" t="s">
        <v>15</v>
      </c>
      <c r="D23" t="s">
        <v>23</v>
      </c>
      <c r="E23" t="s">
        <v>28</v>
      </c>
      <c r="F23" t="s">
        <v>25</v>
      </c>
      <c r="G23" t="s">
        <v>29</v>
      </c>
      <c r="H23" t="s">
        <v>27</v>
      </c>
      <c r="I23" s="3" t="s">
        <v>67</v>
      </c>
      <c r="J23">
        <v>2026</v>
      </c>
      <c r="K23" t="s">
        <v>8</v>
      </c>
      <c r="Q23" t="str">
        <f t="shared" si="0"/>
        <v/>
      </c>
      <c r="S23" s="3" t="s">
        <v>68</v>
      </c>
    </row>
    <row r="24" spans="1:19" ht="409.6" x14ac:dyDescent="0.3">
      <c r="A24" t="s">
        <v>40</v>
      </c>
      <c r="B24" s="6" t="s">
        <v>66</v>
      </c>
      <c r="C24" t="s">
        <v>15</v>
      </c>
      <c r="D24" t="s">
        <v>23</v>
      </c>
      <c r="E24" t="s">
        <v>28</v>
      </c>
      <c r="F24" t="s">
        <v>25</v>
      </c>
      <c r="G24" t="s">
        <v>29</v>
      </c>
      <c r="H24" t="s">
        <v>27</v>
      </c>
      <c r="I24" s="3" t="s">
        <v>67</v>
      </c>
      <c r="J24">
        <v>2026</v>
      </c>
      <c r="K24" t="s">
        <v>9</v>
      </c>
      <c r="Q24" t="str">
        <f t="shared" si="0"/>
        <v/>
      </c>
      <c r="S24" s="3" t="s">
        <v>68</v>
      </c>
    </row>
    <row r="25" spans="1:19" ht="409.6" x14ac:dyDescent="0.3">
      <c r="A25" t="s">
        <v>40</v>
      </c>
      <c r="B25" s="6" t="s">
        <v>66</v>
      </c>
      <c r="C25" t="s">
        <v>15</v>
      </c>
      <c r="D25" t="s">
        <v>23</v>
      </c>
      <c r="E25" t="s">
        <v>28</v>
      </c>
      <c r="F25" t="s">
        <v>25</v>
      </c>
      <c r="G25" t="s">
        <v>29</v>
      </c>
      <c r="H25" t="s">
        <v>27</v>
      </c>
      <c r="I25" s="3" t="s">
        <v>67</v>
      </c>
      <c r="J25">
        <v>2026</v>
      </c>
      <c r="K25" t="s">
        <v>10</v>
      </c>
      <c r="Q25" t="str">
        <f t="shared" si="0"/>
        <v/>
      </c>
      <c r="S25" s="3" t="s">
        <v>68</v>
      </c>
    </row>
    <row r="26" spans="1:19" ht="409.6" x14ac:dyDescent="0.3">
      <c r="A26" t="s">
        <v>40</v>
      </c>
      <c r="B26" s="6" t="s">
        <v>66</v>
      </c>
      <c r="C26" t="s">
        <v>15</v>
      </c>
      <c r="D26" t="s">
        <v>23</v>
      </c>
      <c r="E26" t="s">
        <v>28</v>
      </c>
      <c r="F26" t="s">
        <v>25</v>
      </c>
      <c r="G26" t="s">
        <v>29</v>
      </c>
      <c r="H26" t="s">
        <v>27</v>
      </c>
      <c r="I26" s="3" t="s">
        <v>67</v>
      </c>
      <c r="J26">
        <v>2026</v>
      </c>
      <c r="K26" t="s">
        <v>11</v>
      </c>
      <c r="Q26" t="str">
        <f t="shared" si="0"/>
        <v/>
      </c>
      <c r="S26" s="3" t="s">
        <v>68</v>
      </c>
    </row>
    <row r="27" spans="1:19" ht="409.6" x14ac:dyDescent="0.3">
      <c r="A27" t="s">
        <v>40</v>
      </c>
      <c r="B27" s="6" t="s">
        <v>66</v>
      </c>
      <c r="C27" t="s">
        <v>15</v>
      </c>
      <c r="D27" t="s">
        <v>23</v>
      </c>
      <c r="E27" t="s">
        <v>28</v>
      </c>
      <c r="F27" t="s">
        <v>25</v>
      </c>
      <c r="G27" t="s">
        <v>29</v>
      </c>
      <c r="H27" t="s">
        <v>27</v>
      </c>
      <c r="I27" s="3" t="s">
        <v>67</v>
      </c>
      <c r="J27">
        <v>2026</v>
      </c>
      <c r="K27" t="s">
        <v>12</v>
      </c>
      <c r="Q27" t="str">
        <f t="shared" si="0"/>
        <v/>
      </c>
      <c r="S27" s="3" t="s">
        <v>68</v>
      </c>
    </row>
    <row r="28" spans="1:19" ht="409.6" x14ac:dyDescent="0.3">
      <c r="A28" t="s">
        <v>40</v>
      </c>
      <c r="B28" s="6" t="s">
        <v>66</v>
      </c>
      <c r="C28" t="s">
        <v>15</v>
      </c>
      <c r="D28" t="s">
        <v>23</v>
      </c>
      <c r="E28" t="s">
        <v>28</v>
      </c>
      <c r="F28" t="s">
        <v>25</v>
      </c>
      <c r="G28" t="s">
        <v>29</v>
      </c>
      <c r="H28" t="s">
        <v>27</v>
      </c>
      <c r="I28" s="3" t="s">
        <v>67</v>
      </c>
      <c r="J28">
        <v>2026</v>
      </c>
      <c r="K28" t="s">
        <v>13</v>
      </c>
      <c r="M28" s="5">
        <v>7960</v>
      </c>
      <c r="Q28" t="str">
        <f t="shared" si="0"/>
        <v/>
      </c>
      <c r="S28" s="3" t="s">
        <v>68</v>
      </c>
    </row>
    <row r="29" spans="1:19" ht="409.5" hidden="1" x14ac:dyDescent="0.25">
      <c r="A29" t="s">
        <v>40</v>
      </c>
      <c r="B29" t="s">
        <v>56</v>
      </c>
      <c r="C29" t="s">
        <v>30</v>
      </c>
      <c r="D29" t="s">
        <v>31</v>
      </c>
      <c r="E29" t="s">
        <v>32</v>
      </c>
      <c r="F29" t="s">
        <v>18</v>
      </c>
      <c r="G29" t="s">
        <v>57</v>
      </c>
      <c r="H29" t="s">
        <v>33</v>
      </c>
      <c r="I29" s="3" t="s">
        <v>72</v>
      </c>
      <c r="J29">
        <v>2025</v>
      </c>
      <c r="K29" t="s">
        <v>13</v>
      </c>
      <c r="L29">
        <v>98</v>
      </c>
      <c r="Q29" t="str">
        <f t="shared" si="0"/>
        <v/>
      </c>
      <c r="S29" s="3" t="s">
        <v>63</v>
      </c>
    </row>
    <row r="30" spans="1:19" ht="409.5" hidden="1" x14ac:dyDescent="0.25">
      <c r="A30" t="s">
        <v>40</v>
      </c>
      <c r="B30" t="s">
        <v>56</v>
      </c>
      <c r="C30" t="s">
        <v>30</v>
      </c>
      <c r="D30" t="s">
        <v>31</v>
      </c>
      <c r="E30" t="s">
        <v>32</v>
      </c>
      <c r="F30" t="s">
        <v>18</v>
      </c>
      <c r="G30" t="s">
        <v>57</v>
      </c>
      <c r="H30" t="s">
        <v>33</v>
      </c>
      <c r="I30" s="3" t="s">
        <v>72</v>
      </c>
      <c r="J30">
        <v>2026</v>
      </c>
      <c r="K30" t="s">
        <v>2</v>
      </c>
      <c r="M30">
        <v>98</v>
      </c>
      <c r="N30">
        <v>99.1</v>
      </c>
      <c r="Q30" t="str">
        <f t="shared" si="0"/>
        <v>Cumplimiento sobre la meta</v>
      </c>
      <c r="S30" s="3" t="s">
        <v>63</v>
      </c>
    </row>
    <row r="31" spans="1:19" ht="409.5" hidden="1" x14ac:dyDescent="0.25">
      <c r="A31" t="s">
        <v>40</v>
      </c>
      <c r="B31" t="s">
        <v>56</v>
      </c>
      <c r="C31" t="s">
        <v>30</v>
      </c>
      <c r="D31" t="s">
        <v>31</v>
      </c>
      <c r="E31" t="s">
        <v>32</v>
      </c>
      <c r="F31" t="s">
        <v>18</v>
      </c>
      <c r="G31" t="s">
        <v>57</v>
      </c>
      <c r="H31" t="s">
        <v>33</v>
      </c>
      <c r="I31" s="3" t="s">
        <v>72</v>
      </c>
      <c r="J31">
        <v>2026</v>
      </c>
      <c r="K31" t="s">
        <v>3</v>
      </c>
      <c r="M31">
        <v>98</v>
      </c>
      <c r="N31">
        <v>99.09</v>
      </c>
      <c r="Q31" t="str">
        <f t="shared" si="0"/>
        <v>Cumplimiento sobre la meta</v>
      </c>
      <c r="S31" s="3" t="s">
        <v>63</v>
      </c>
    </row>
    <row r="32" spans="1:19" ht="409.5" hidden="1" x14ac:dyDescent="0.25">
      <c r="A32" t="s">
        <v>40</v>
      </c>
      <c r="B32" t="s">
        <v>56</v>
      </c>
      <c r="C32" t="s">
        <v>30</v>
      </c>
      <c r="D32" t="s">
        <v>31</v>
      </c>
      <c r="E32" t="s">
        <v>32</v>
      </c>
      <c r="F32" t="s">
        <v>18</v>
      </c>
      <c r="G32" t="s">
        <v>57</v>
      </c>
      <c r="H32" t="s">
        <v>33</v>
      </c>
      <c r="I32" s="3" t="s">
        <v>72</v>
      </c>
      <c r="J32">
        <v>2026</v>
      </c>
      <c r="K32" t="s">
        <v>4</v>
      </c>
      <c r="M32">
        <v>98</v>
      </c>
      <c r="N32">
        <v>99.08</v>
      </c>
      <c r="Q32" t="str">
        <f t="shared" si="0"/>
        <v>Cumplimiento sobre la meta</v>
      </c>
      <c r="S32" s="3" t="s">
        <v>63</v>
      </c>
    </row>
    <row r="33" spans="1:19" ht="409.5" hidden="1" x14ac:dyDescent="0.25">
      <c r="A33" t="s">
        <v>40</v>
      </c>
      <c r="B33" t="s">
        <v>56</v>
      </c>
      <c r="C33" t="s">
        <v>30</v>
      </c>
      <c r="D33" t="s">
        <v>31</v>
      </c>
      <c r="E33" t="s">
        <v>32</v>
      </c>
      <c r="F33" t="s">
        <v>18</v>
      </c>
      <c r="G33" t="s">
        <v>57</v>
      </c>
      <c r="H33" t="s">
        <v>33</v>
      </c>
      <c r="I33" s="3" t="s">
        <v>72</v>
      </c>
      <c r="J33">
        <v>2026</v>
      </c>
      <c r="K33" t="s">
        <v>5</v>
      </c>
      <c r="M33">
        <v>98</v>
      </c>
      <c r="N33">
        <v>98.56</v>
      </c>
      <c r="Q33" t="str">
        <f t="shared" si="0"/>
        <v>Cumplimiento sobre la meta</v>
      </c>
      <c r="S33" s="3" t="s">
        <v>63</v>
      </c>
    </row>
    <row r="34" spans="1:19" ht="409.5" hidden="1" x14ac:dyDescent="0.25">
      <c r="A34" t="s">
        <v>40</v>
      </c>
      <c r="B34" t="s">
        <v>56</v>
      </c>
      <c r="C34" t="s">
        <v>30</v>
      </c>
      <c r="D34" t="s">
        <v>31</v>
      </c>
      <c r="E34" t="s">
        <v>32</v>
      </c>
      <c r="F34" t="s">
        <v>18</v>
      </c>
      <c r="G34" t="s">
        <v>57</v>
      </c>
      <c r="H34" t="s">
        <v>33</v>
      </c>
      <c r="I34" s="3" t="s">
        <v>72</v>
      </c>
      <c r="J34">
        <v>2026</v>
      </c>
      <c r="K34" t="s">
        <v>6</v>
      </c>
      <c r="M34">
        <v>98</v>
      </c>
      <c r="N34">
        <v>98.55</v>
      </c>
      <c r="Q34" t="str">
        <f t="shared" si="0"/>
        <v>Cumplimiento sobre la meta</v>
      </c>
      <c r="S34" s="3" t="s">
        <v>63</v>
      </c>
    </row>
    <row r="35" spans="1:19" ht="409.5" hidden="1" x14ac:dyDescent="0.25">
      <c r="A35" t="s">
        <v>40</v>
      </c>
      <c r="B35" t="s">
        <v>56</v>
      </c>
      <c r="C35" t="s">
        <v>30</v>
      </c>
      <c r="D35" t="s">
        <v>31</v>
      </c>
      <c r="E35" t="s">
        <v>32</v>
      </c>
      <c r="F35" t="s">
        <v>18</v>
      </c>
      <c r="G35" t="s">
        <v>57</v>
      </c>
      <c r="H35" t="s">
        <v>33</v>
      </c>
      <c r="I35" s="3" t="s">
        <v>72</v>
      </c>
      <c r="J35">
        <v>2026</v>
      </c>
      <c r="K35" t="s">
        <v>7</v>
      </c>
      <c r="M35">
        <v>98</v>
      </c>
      <c r="N35">
        <v>98.56</v>
      </c>
      <c r="Q35" t="str">
        <f t="shared" si="0"/>
        <v>Cumplimiento sobre la meta</v>
      </c>
      <c r="S35" s="3" t="s">
        <v>63</v>
      </c>
    </row>
    <row r="36" spans="1:19" ht="409.5" hidden="1" x14ac:dyDescent="0.25">
      <c r="A36" t="s">
        <v>40</v>
      </c>
      <c r="B36" t="s">
        <v>56</v>
      </c>
      <c r="C36" t="s">
        <v>30</v>
      </c>
      <c r="D36" t="s">
        <v>31</v>
      </c>
      <c r="E36" t="s">
        <v>32</v>
      </c>
      <c r="F36" t="s">
        <v>18</v>
      </c>
      <c r="G36" t="s">
        <v>57</v>
      </c>
      <c r="H36" t="s">
        <v>33</v>
      </c>
      <c r="I36" s="3" t="s">
        <v>72</v>
      </c>
      <c r="J36">
        <v>2026</v>
      </c>
      <c r="K36" t="s">
        <v>8</v>
      </c>
      <c r="M36">
        <v>98</v>
      </c>
      <c r="N36">
        <v>98.56</v>
      </c>
      <c r="Q36" t="str">
        <f t="shared" si="0"/>
        <v>Cumplimiento sobre la meta</v>
      </c>
      <c r="S36" s="3" t="s">
        <v>63</v>
      </c>
    </row>
    <row r="37" spans="1:19" ht="409.5" hidden="1" x14ac:dyDescent="0.25">
      <c r="A37" t="s">
        <v>40</v>
      </c>
      <c r="B37" t="s">
        <v>56</v>
      </c>
      <c r="C37" t="s">
        <v>30</v>
      </c>
      <c r="D37" t="s">
        <v>31</v>
      </c>
      <c r="E37" t="s">
        <v>32</v>
      </c>
      <c r="F37" t="s">
        <v>18</v>
      </c>
      <c r="G37" t="s">
        <v>57</v>
      </c>
      <c r="H37" t="s">
        <v>33</v>
      </c>
      <c r="I37" s="3" t="s">
        <v>72</v>
      </c>
      <c r="J37">
        <v>2026</v>
      </c>
      <c r="K37" t="s">
        <v>9</v>
      </c>
      <c r="M37">
        <v>98</v>
      </c>
      <c r="N37">
        <v>98.72</v>
      </c>
      <c r="Q37" t="str">
        <f t="shared" si="0"/>
        <v>Cumplimiento sobre la meta</v>
      </c>
      <c r="S37" s="3" t="s">
        <v>63</v>
      </c>
    </row>
    <row r="38" spans="1:19" ht="409.5" hidden="1" x14ac:dyDescent="0.25">
      <c r="A38" t="s">
        <v>40</v>
      </c>
      <c r="B38" t="s">
        <v>56</v>
      </c>
      <c r="C38" t="s">
        <v>30</v>
      </c>
      <c r="D38" t="s">
        <v>31</v>
      </c>
      <c r="E38" t="s">
        <v>32</v>
      </c>
      <c r="F38" t="s">
        <v>18</v>
      </c>
      <c r="G38" t="s">
        <v>57</v>
      </c>
      <c r="H38" t="s">
        <v>33</v>
      </c>
      <c r="I38" s="3" t="s">
        <v>72</v>
      </c>
      <c r="J38">
        <v>2026</v>
      </c>
      <c r="K38" t="s">
        <v>10</v>
      </c>
      <c r="M38">
        <v>98</v>
      </c>
      <c r="Q38" t="str">
        <f t="shared" si="0"/>
        <v/>
      </c>
      <c r="S38" s="3" t="s">
        <v>63</v>
      </c>
    </row>
    <row r="39" spans="1:19" ht="409.5" hidden="1" x14ac:dyDescent="0.25">
      <c r="A39" t="s">
        <v>40</v>
      </c>
      <c r="B39" t="s">
        <v>56</v>
      </c>
      <c r="C39" t="s">
        <v>30</v>
      </c>
      <c r="D39" t="s">
        <v>31</v>
      </c>
      <c r="E39" t="s">
        <v>32</v>
      </c>
      <c r="F39" t="s">
        <v>18</v>
      </c>
      <c r="G39" t="s">
        <v>57</v>
      </c>
      <c r="H39" t="s">
        <v>33</v>
      </c>
      <c r="I39" s="3" t="s">
        <v>72</v>
      </c>
      <c r="J39">
        <v>2026</v>
      </c>
      <c r="K39" t="s">
        <v>11</v>
      </c>
      <c r="M39">
        <v>98</v>
      </c>
      <c r="Q39" t="str">
        <f t="shared" si="0"/>
        <v/>
      </c>
      <c r="S39" s="3" t="s">
        <v>63</v>
      </c>
    </row>
    <row r="40" spans="1:19" ht="409.5" hidden="1" x14ac:dyDescent="0.25">
      <c r="A40" t="s">
        <v>40</v>
      </c>
      <c r="B40" t="s">
        <v>56</v>
      </c>
      <c r="C40" t="s">
        <v>30</v>
      </c>
      <c r="D40" t="s">
        <v>31</v>
      </c>
      <c r="E40" t="s">
        <v>32</v>
      </c>
      <c r="F40" t="s">
        <v>18</v>
      </c>
      <c r="G40" t="s">
        <v>57</v>
      </c>
      <c r="H40" t="s">
        <v>33</v>
      </c>
      <c r="I40" s="3" t="s">
        <v>72</v>
      </c>
      <c r="J40">
        <v>2026</v>
      </c>
      <c r="K40" t="s">
        <v>12</v>
      </c>
      <c r="M40">
        <v>98</v>
      </c>
      <c r="Q40" t="str">
        <f t="shared" si="0"/>
        <v/>
      </c>
      <c r="S40" s="3" t="s">
        <v>63</v>
      </c>
    </row>
    <row r="41" spans="1:19" ht="409.5" hidden="1" x14ac:dyDescent="0.25">
      <c r="A41" t="s">
        <v>40</v>
      </c>
      <c r="B41" t="s">
        <v>56</v>
      </c>
      <c r="C41" t="s">
        <v>30</v>
      </c>
      <c r="D41" t="s">
        <v>31</v>
      </c>
      <c r="E41" t="s">
        <v>32</v>
      </c>
      <c r="F41" t="s">
        <v>18</v>
      </c>
      <c r="G41" t="s">
        <v>57</v>
      </c>
      <c r="H41" t="s">
        <v>33</v>
      </c>
      <c r="I41" s="3" t="s">
        <v>72</v>
      </c>
      <c r="J41">
        <v>2026</v>
      </c>
      <c r="K41" t="s">
        <v>13</v>
      </c>
      <c r="M41">
        <v>98</v>
      </c>
      <c r="Q41" t="str">
        <f t="shared" si="0"/>
        <v/>
      </c>
      <c r="S41" s="3" t="s">
        <v>63</v>
      </c>
    </row>
    <row r="42" spans="1:19" ht="120" hidden="1" x14ac:dyDescent="0.25">
      <c r="A42" t="s">
        <v>40</v>
      </c>
      <c r="B42" t="s">
        <v>34</v>
      </c>
      <c r="C42" t="s">
        <v>35</v>
      </c>
      <c r="D42" t="s">
        <v>36</v>
      </c>
      <c r="E42" t="s">
        <v>37</v>
      </c>
      <c r="F42" t="s">
        <v>25</v>
      </c>
      <c r="G42" t="s">
        <v>38</v>
      </c>
      <c r="H42" t="s">
        <v>33</v>
      </c>
      <c r="I42" t="s">
        <v>64</v>
      </c>
      <c r="J42">
        <v>2025</v>
      </c>
      <c r="L42" s="8">
        <v>8.0649999999999995</v>
      </c>
      <c r="Q42" t="str">
        <f t="shared" si="0"/>
        <v/>
      </c>
      <c r="R42" t="s">
        <v>39</v>
      </c>
      <c r="S42" s="3" t="s">
        <v>65</v>
      </c>
    </row>
    <row r="43" spans="1:19" ht="120" hidden="1" x14ac:dyDescent="0.25">
      <c r="A43" t="s">
        <v>40</v>
      </c>
      <c r="B43" t="s">
        <v>34</v>
      </c>
      <c r="C43" t="s">
        <v>35</v>
      </c>
      <c r="D43" t="s">
        <v>36</v>
      </c>
      <c r="E43" t="s">
        <v>37</v>
      </c>
      <c r="F43" t="s">
        <v>25</v>
      </c>
      <c r="G43" t="s">
        <v>38</v>
      </c>
      <c r="H43" t="s">
        <v>33</v>
      </c>
      <c r="I43" t="s">
        <v>64</v>
      </c>
      <c r="J43">
        <v>2026</v>
      </c>
      <c r="K43" t="s">
        <v>2</v>
      </c>
      <c r="M43" s="8">
        <v>8.0749999999999993</v>
      </c>
      <c r="N43">
        <v>8.0749999999999993</v>
      </c>
      <c r="Q43" t="str">
        <f t="shared" si="0"/>
        <v>Cumpliento igual a la meta</v>
      </c>
      <c r="S43" s="3" t="s">
        <v>65</v>
      </c>
    </row>
    <row r="44" spans="1:19" ht="120" hidden="1" x14ac:dyDescent="0.25">
      <c r="A44" t="s">
        <v>40</v>
      </c>
      <c r="B44" t="s">
        <v>34</v>
      </c>
      <c r="C44" t="s">
        <v>35</v>
      </c>
      <c r="D44" t="s">
        <v>36</v>
      </c>
      <c r="E44" t="s">
        <v>37</v>
      </c>
      <c r="F44" t="s">
        <v>25</v>
      </c>
      <c r="G44" t="s">
        <v>38</v>
      </c>
      <c r="H44" t="s">
        <v>33</v>
      </c>
      <c r="I44" t="s">
        <v>64</v>
      </c>
      <c r="J44">
        <v>2026</v>
      </c>
      <c r="K44" t="s">
        <v>3</v>
      </c>
      <c r="M44" s="8">
        <v>8.09</v>
      </c>
      <c r="N44" s="8">
        <v>8.09</v>
      </c>
      <c r="Q44" t="str">
        <f t="shared" si="0"/>
        <v>Cumpliento igual a la meta</v>
      </c>
      <c r="S44" s="3" t="s">
        <v>65</v>
      </c>
    </row>
    <row r="45" spans="1:19" ht="120" hidden="1" x14ac:dyDescent="0.25">
      <c r="A45" t="s">
        <v>40</v>
      </c>
      <c r="B45" t="s">
        <v>34</v>
      </c>
      <c r="C45" t="s">
        <v>35</v>
      </c>
      <c r="D45" t="s">
        <v>36</v>
      </c>
      <c r="E45" t="s">
        <v>37</v>
      </c>
      <c r="F45" t="s">
        <v>25</v>
      </c>
      <c r="G45" t="s">
        <v>38</v>
      </c>
      <c r="H45" t="s">
        <v>33</v>
      </c>
      <c r="I45" t="s">
        <v>64</v>
      </c>
      <c r="J45">
        <v>2026</v>
      </c>
      <c r="K45" t="s">
        <v>4</v>
      </c>
      <c r="M45" s="8">
        <v>8.1349999999999998</v>
      </c>
      <c r="N45" s="8">
        <v>8.1349999999999998</v>
      </c>
      <c r="Q45" t="str">
        <f t="shared" si="0"/>
        <v>Cumpliento igual a la meta</v>
      </c>
      <c r="S45" s="3" t="s">
        <v>65</v>
      </c>
    </row>
    <row r="46" spans="1:19" ht="120" hidden="1" x14ac:dyDescent="0.25">
      <c r="A46" t="s">
        <v>40</v>
      </c>
      <c r="B46" t="s">
        <v>34</v>
      </c>
      <c r="C46" t="s">
        <v>35</v>
      </c>
      <c r="D46" t="s">
        <v>36</v>
      </c>
      <c r="E46" t="s">
        <v>37</v>
      </c>
      <c r="F46" t="s">
        <v>25</v>
      </c>
      <c r="G46" t="s">
        <v>38</v>
      </c>
      <c r="H46" t="s">
        <v>33</v>
      </c>
      <c r="I46" t="s">
        <v>64</v>
      </c>
      <c r="J46">
        <v>2026</v>
      </c>
      <c r="K46" t="s">
        <v>5</v>
      </c>
      <c r="M46" s="8">
        <v>8.1649999999999991</v>
      </c>
      <c r="N46" s="8">
        <v>8.1649999999999991</v>
      </c>
      <c r="Q46" t="str">
        <f t="shared" si="0"/>
        <v>Cumpliento igual a la meta</v>
      </c>
      <c r="S46" s="3" t="s">
        <v>65</v>
      </c>
    </row>
    <row r="47" spans="1:19" ht="120" hidden="1" x14ac:dyDescent="0.25">
      <c r="A47" t="s">
        <v>40</v>
      </c>
      <c r="B47" t="s">
        <v>34</v>
      </c>
      <c r="C47" t="s">
        <v>35</v>
      </c>
      <c r="D47" t="s">
        <v>36</v>
      </c>
      <c r="E47" t="s">
        <v>37</v>
      </c>
      <c r="F47" t="s">
        <v>25</v>
      </c>
      <c r="G47" t="s">
        <v>38</v>
      </c>
      <c r="H47" t="s">
        <v>33</v>
      </c>
      <c r="I47" t="s">
        <v>64</v>
      </c>
      <c r="J47">
        <v>2026</v>
      </c>
      <c r="K47" t="s">
        <v>6</v>
      </c>
      <c r="M47" s="8">
        <v>8.1750000000000007</v>
      </c>
      <c r="N47">
        <v>8.1649999999999991</v>
      </c>
      <c r="Q47" t="str">
        <f t="shared" si="0"/>
        <v>Incumplimiento de meta</v>
      </c>
      <c r="S47" s="3" t="s">
        <v>65</v>
      </c>
    </row>
    <row r="48" spans="1:19" ht="120" hidden="1" x14ac:dyDescent="0.25">
      <c r="A48" t="s">
        <v>40</v>
      </c>
      <c r="B48" t="s">
        <v>34</v>
      </c>
      <c r="C48" t="s">
        <v>35</v>
      </c>
      <c r="D48" t="s">
        <v>36</v>
      </c>
      <c r="E48" t="s">
        <v>37</v>
      </c>
      <c r="F48" t="s">
        <v>25</v>
      </c>
      <c r="G48" t="s">
        <v>38</v>
      </c>
      <c r="H48" t="s">
        <v>33</v>
      </c>
      <c r="I48" t="s">
        <v>64</v>
      </c>
      <c r="J48">
        <v>2026</v>
      </c>
      <c r="K48" t="s">
        <v>7</v>
      </c>
      <c r="M48" s="8">
        <v>8.1850000000000005</v>
      </c>
      <c r="N48">
        <v>8.1630000000000003</v>
      </c>
      <c r="Q48" t="str">
        <f t="shared" si="0"/>
        <v>Incumplimiento de meta</v>
      </c>
      <c r="S48" s="3" t="s">
        <v>65</v>
      </c>
    </row>
    <row r="49" spans="1:19" ht="120" hidden="1" x14ac:dyDescent="0.25">
      <c r="A49" t="s">
        <v>40</v>
      </c>
      <c r="B49" t="s">
        <v>34</v>
      </c>
      <c r="C49" t="s">
        <v>35</v>
      </c>
      <c r="D49" t="s">
        <v>36</v>
      </c>
      <c r="E49" t="s">
        <v>37</v>
      </c>
      <c r="F49" t="s">
        <v>25</v>
      </c>
      <c r="G49" t="s">
        <v>38</v>
      </c>
      <c r="H49" t="s">
        <v>33</v>
      </c>
      <c r="I49" t="s">
        <v>64</v>
      </c>
      <c r="J49">
        <v>2026</v>
      </c>
      <c r="K49" t="s">
        <v>8</v>
      </c>
      <c r="M49" s="8">
        <v>8.1950000000000003</v>
      </c>
      <c r="N49">
        <v>8.1579999999999995</v>
      </c>
      <c r="Q49" t="str">
        <f t="shared" si="0"/>
        <v>Incumplimiento de meta</v>
      </c>
      <c r="S49" s="3" t="s">
        <v>65</v>
      </c>
    </row>
    <row r="50" spans="1:19" ht="120" hidden="1" x14ac:dyDescent="0.25">
      <c r="A50" t="s">
        <v>40</v>
      </c>
      <c r="B50" t="s">
        <v>34</v>
      </c>
      <c r="C50" t="s">
        <v>35</v>
      </c>
      <c r="D50" t="s">
        <v>36</v>
      </c>
      <c r="E50" t="s">
        <v>37</v>
      </c>
      <c r="F50" t="s">
        <v>25</v>
      </c>
      <c r="G50" t="s">
        <v>38</v>
      </c>
      <c r="H50" t="s">
        <v>33</v>
      </c>
      <c r="I50" t="s">
        <v>64</v>
      </c>
      <c r="J50">
        <v>2026</v>
      </c>
      <c r="K50" t="s">
        <v>9</v>
      </c>
      <c r="M50" s="8">
        <v>8.2149999999999999</v>
      </c>
      <c r="N50">
        <v>8.18</v>
      </c>
      <c r="Q50" t="str">
        <f t="shared" si="0"/>
        <v>Incumplimiento de meta</v>
      </c>
      <c r="S50" s="3" t="s">
        <v>65</v>
      </c>
    </row>
    <row r="51" spans="1:19" ht="120" hidden="1" x14ac:dyDescent="0.25">
      <c r="A51" t="s">
        <v>40</v>
      </c>
      <c r="B51" t="s">
        <v>34</v>
      </c>
      <c r="C51" t="s">
        <v>35</v>
      </c>
      <c r="D51" t="s">
        <v>36</v>
      </c>
      <c r="E51" t="s">
        <v>37</v>
      </c>
      <c r="F51" t="s">
        <v>25</v>
      </c>
      <c r="G51" t="s">
        <v>38</v>
      </c>
      <c r="H51" t="s">
        <v>33</v>
      </c>
      <c r="I51" t="s">
        <v>64</v>
      </c>
      <c r="J51">
        <v>2026</v>
      </c>
      <c r="K51" t="s">
        <v>10</v>
      </c>
      <c r="L51" s="5"/>
      <c r="M51" s="8">
        <v>8.4</v>
      </c>
      <c r="Q51" t="str">
        <f t="shared" si="0"/>
        <v/>
      </c>
      <c r="S51" s="3" t="s">
        <v>65</v>
      </c>
    </row>
    <row r="52" spans="1:19" hidden="1" x14ac:dyDescent="0.25">
      <c r="A52" t="s">
        <v>40</v>
      </c>
      <c r="B52" t="s">
        <v>34</v>
      </c>
      <c r="C52" t="s">
        <v>35</v>
      </c>
      <c r="D52" t="s">
        <v>36</v>
      </c>
      <c r="E52" t="s">
        <v>37</v>
      </c>
      <c r="F52" t="s">
        <v>25</v>
      </c>
      <c r="G52" t="s">
        <v>38</v>
      </c>
      <c r="H52" t="s">
        <v>33</v>
      </c>
      <c r="I52" t="s">
        <v>64</v>
      </c>
      <c r="J52">
        <v>2026</v>
      </c>
      <c r="K52" t="s">
        <v>11</v>
      </c>
      <c r="L52" s="5"/>
      <c r="M52">
        <v>8.6449999999999996</v>
      </c>
      <c r="Q52" t="str">
        <f t="shared" si="0"/>
        <v/>
      </c>
      <c r="S52" s="3"/>
    </row>
    <row r="53" spans="1:19" hidden="1" x14ac:dyDescent="0.25">
      <c r="A53" t="s">
        <v>40</v>
      </c>
      <c r="B53" t="s">
        <v>34</v>
      </c>
      <c r="C53" t="s">
        <v>35</v>
      </c>
      <c r="D53" t="s">
        <v>36</v>
      </c>
      <c r="E53" t="s">
        <v>37</v>
      </c>
      <c r="F53" t="s">
        <v>25</v>
      </c>
      <c r="G53" t="s">
        <v>38</v>
      </c>
      <c r="H53" t="s">
        <v>33</v>
      </c>
      <c r="I53" t="s">
        <v>64</v>
      </c>
      <c r="J53">
        <v>2026</v>
      </c>
      <c r="K53" t="s">
        <v>12</v>
      </c>
      <c r="L53" s="5"/>
      <c r="M53" s="8">
        <v>8.89</v>
      </c>
      <c r="Q53" t="str">
        <f t="shared" si="0"/>
        <v/>
      </c>
      <c r="S53" s="3"/>
    </row>
    <row r="54" spans="1:19" ht="120" hidden="1" x14ac:dyDescent="0.25">
      <c r="A54" t="s">
        <v>40</v>
      </c>
      <c r="B54" t="s">
        <v>34</v>
      </c>
      <c r="C54" t="s">
        <v>35</v>
      </c>
      <c r="D54" t="s">
        <v>36</v>
      </c>
      <c r="E54" t="s">
        <v>37</v>
      </c>
      <c r="F54" t="s">
        <v>25</v>
      </c>
      <c r="G54" t="s">
        <v>38</v>
      </c>
      <c r="H54" t="s">
        <v>33</v>
      </c>
      <c r="I54" t="s">
        <v>64</v>
      </c>
      <c r="J54">
        <v>2026</v>
      </c>
      <c r="K54" t="s">
        <v>13</v>
      </c>
      <c r="M54" s="8">
        <v>9.0250000000000004</v>
      </c>
      <c r="Q54" t="str">
        <f t="shared" si="0"/>
        <v/>
      </c>
      <c r="S54" s="3" t="s">
        <v>65</v>
      </c>
    </row>
    <row r="55" spans="1:19" ht="409.5" hidden="1" x14ac:dyDescent="0.25">
      <c r="A55" t="s">
        <v>40</v>
      </c>
      <c r="B55" t="s">
        <v>14</v>
      </c>
      <c r="C55" t="s">
        <v>15</v>
      </c>
      <c r="D55" t="s">
        <v>16</v>
      </c>
      <c r="E55" t="s">
        <v>17</v>
      </c>
      <c r="F55" t="s">
        <v>18</v>
      </c>
      <c r="G55" t="s">
        <v>19</v>
      </c>
      <c r="H55" t="s">
        <v>20</v>
      </c>
      <c r="I55" s="7" t="s">
        <v>71</v>
      </c>
      <c r="J55" t="s">
        <v>70</v>
      </c>
      <c r="M55">
        <v>97.71</v>
      </c>
      <c r="S55" s="3" t="s">
        <v>68</v>
      </c>
    </row>
  </sheetData>
  <autoFilter ref="A1:R55" xr:uid="{E4714349-03B2-4199-98F8-73D57783E795}">
    <filterColumn colId="1">
      <filters>
        <filter val="Número de estudiantes atendidos por el servicio de Nivelación y Aceleración Pedagógica."/>
      </filters>
    </filterColumn>
  </autoFilter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Erika Ivanova Solis Gordon</dc:creator>
  <cp:lastModifiedBy>Ricardo Andres Castellanos Morocho</cp:lastModifiedBy>
  <dcterms:created xsi:type="dcterms:W3CDTF">2026-09-14T16:40:41Z</dcterms:created>
  <dcterms:modified xsi:type="dcterms:W3CDTF">2026-09-23T18:08:24Z</dcterms:modified>
</cp:coreProperties>
</file>