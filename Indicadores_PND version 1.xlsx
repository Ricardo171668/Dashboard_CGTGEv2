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RicardoCastellanos\Dashboard_CGTGE\Dashboard_CGTGEv2\"/>
    </mc:Choice>
  </mc:AlternateContent>
  <xr:revisionPtr revIDLastSave="0" documentId="13_ncr:2001_{B080BF8C-0172-4735-BDF7-76CA90BD7118}" xr6:coauthVersionLast="47" xr6:coauthVersionMax="47" xr10:uidLastSave="{00000000-0000-0000-0000-000000000000}"/>
  <bookViews>
    <workbookView xWindow="-120" yWindow="-120" windowWidth="29040" windowHeight="15720" xr2:uid="{CD9DCAFE-BDFD-4A82-B774-9794FFFBBC6B}"/>
  </bookViews>
  <sheets>
    <sheet name="Hoja1" sheetId="1" r:id="rId1"/>
  </sheets>
  <externalReferences>
    <externalReference r:id="rId2"/>
  </externalReferences>
  <definedNames>
    <definedName name="_xlnm._FilterDatabase" localSheetId="0" hidden="1">Hoja1!$B$1:$U$114</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08" i="1" l="1"/>
  <c r="Q31" i="1"/>
  <c r="Q25" i="1"/>
  <c r="Q63" i="1"/>
  <c r="Q37" i="1"/>
  <c r="Q57" i="1"/>
  <c r="Q83" i="1"/>
  <c r="Q82" i="1"/>
  <c r="Q77" i="1"/>
  <c r="Q76" i="1"/>
  <c r="Q75" i="1"/>
  <c r="Q51" i="1"/>
  <c r="Q50" i="1"/>
  <c r="Q43" i="1"/>
  <c r="Q13" i="1"/>
  <c r="Q89" i="1"/>
  <c r="Q95" i="1"/>
  <c r="Q19" i="1"/>
  <c r="Q114" i="1"/>
  <c r="Q110" i="1"/>
  <c r="Q111" i="1"/>
  <c r="Q112" i="1"/>
  <c r="Q113" i="1"/>
  <c r="Q104" i="1"/>
  <c r="Q105" i="1"/>
  <c r="Q106" i="1"/>
  <c r="Q107" i="1"/>
  <c r="Q109" i="1"/>
  <c r="Q103" i="1"/>
  <c r="Q73" i="1"/>
  <c r="Q74" i="1"/>
  <c r="Q78" i="1"/>
  <c r="Q79" i="1"/>
  <c r="Q80" i="1"/>
  <c r="Q81" i="1"/>
  <c r="Q84" i="1"/>
  <c r="Q85" i="1"/>
  <c r="Q86" i="1"/>
  <c r="Q87" i="1"/>
  <c r="Q88" i="1"/>
  <c r="Q90" i="1"/>
  <c r="Q91" i="1"/>
  <c r="Q92" i="1"/>
  <c r="Q93" i="1"/>
  <c r="Q94" i="1"/>
  <c r="Q96" i="1"/>
  <c r="Q97" i="1"/>
  <c r="Q99" i="1"/>
  <c r="Q100" i="1"/>
  <c r="Q102" i="1"/>
  <c r="Q33" i="1"/>
  <c r="Q34" i="1"/>
  <c r="Q35" i="1"/>
  <c r="Q36" i="1"/>
  <c r="Q38" i="1"/>
  <c r="Q39" i="1"/>
  <c r="Q40" i="1"/>
  <c r="Q41" i="1"/>
  <c r="Q42" i="1"/>
  <c r="Q45" i="1"/>
  <c r="Q46" i="1"/>
  <c r="Q47" i="1"/>
  <c r="Q48" i="1"/>
  <c r="Q49" i="1"/>
  <c r="Q52" i="1"/>
  <c r="Q53" i="1"/>
  <c r="Q54" i="1"/>
  <c r="Q55" i="1"/>
  <c r="Q56" i="1"/>
  <c r="Q58" i="1"/>
  <c r="Q59" i="1"/>
  <c r="Q60" i="1"/>
  <c r="Q61" i="1"/>
  <c r="Q62" i="1"/>
  <c r="Q64" i="1"/>
  <c r="Q65" i="1"/>
  <c r="Q66" i="1"/>
  <c r="Q67" i="1"/>
  <c r="Q68" i="1"/>
  <c r="Q70" i="1"/>
  <c r="Q71" i="1"/>
  <c r="Q72" i="1"/>
  <c r="Q27" i="1"/>
  <c r="Q28" i="1"/>
  <c r="Q29" i="1"/>
  <c r="Q30" i="1"/>
  <c r="Q32" i="1"/>
  <c r="Q22" i="1"/>
  <c r="Q23" i="1"/>
  <c r="Q24" i="1"/>
  <c r="Q26" i="1"/>
  <c r="Q4" i="1"/>
  <c r="Q5" i="1"/>
  <c r="Q6" i="1"/>
  <c r="Q7" i="1"/>
  <c r="Q8" i="1"/>
  <c r="Q9" i="1"/>
  <c r="Q10" i="1"/>
  <c r="Q11" i="1"/>
  <c r="Q12" i="1"/>
  <c r="Q14" i="1"/>
  <c r="Q15" i="1"/>
  <c r="Q16" i="1"/>
  <c r="Q17" i="1"/>
  <c r="Q18" i="1"/>
  <c r="Q20" i="1"/>
  <c r="Q21" i="1"/>
  <c r="Q3" i="1" l="1"/>
</calcChain>
</file>

<file path=xl/sharedStrings.xml><?xml version="1.0" encoding="utf-8"?>
<sst xmlns="http://schemas.openxmlformats.org/spreadsheetml/2006/main" count="1191" uniqueCount="139">
  <si>
    <t>TIPO INDICADOR</t>
  </si>
  <si>
    <t>PLAN NACIONAL DE DESARROLLO 2025-2029</t>
  </si>
  <si>
    <t>NOMBRE DEL INDICADOR</t>
  </si>
  <si>
    <t>Mediana (en minutos) de comportamiento sedentario durante un día normal en niños y jóvenes (5-17 años)</t>
  </si>
  <si>
    <t>VICEMINISTERIO</t>
  </si>
  <si>
    <t>ENCARGADO</t>
  </si>
  <si>
    <t>Viceministerio de Deporte</t>
  </si>
  <si>
    <t>Año</t>
  </si>
  <si>
    <t>Línea base</t>
  </si>
  <si>
    <t>Meta</t>
  </si>
  <si>
    <t>Estimador</t>
  </si>
  <si>
    <t>Numerador</t>
  </si>
  <si>
    <t>Denominador</t>
  </si>
  <si>
    <t>Observación</t>
  </si>
  <si>
    <t>Alerta</t>
  </si>
  <si>
    <t>Anual</t>
  </si>
  <si>
    <t>Periodicidad</t>
  </si>
  <si>
    <t>Mediana en minutos</t>
  </si>
  <si>
    <t>Definición</t>
  </si>
  <si>
    <t>Mediana (en minutos) de comportamiento sedentario durante un día normal en niños y jóvenes (5-17 años), cuando no están en la escuela/colegio o haciendo tareas escolares.</t>
  </si>
  <si>
    <t>Unidad de medida</t>
  </si>
  <si>
    <t>Fuente de datos</t>
  </si>
  <si>
    <t>Encuesta Nacional de Empleo, Desempleo y  Subempleo (ENEMDU -INEC)</t>
  </si>
  <si>
    <t>Se aperturan puntos activate para el cumplimiento, sin embargo, el proyecto no contempla el universo nacional.</t>
  </si>
  <si>
    <t>Número de obras, proyectos y, producciones artísticas y culturales financiadas con fondos de fomento no reembolsables</t>
  </si>
  <si>
    <t xml:space="preserve">Ministerio de Cultura y Patrimonio. Registro de Incentivos, Aportes, Financiamiento, Apoyo, </t>
  </si>
  <si>
    <t>Viceministerio de Cultura</t>
  </si>
  <si>
    <t xml:space="preserve">Dirección de Seguimiento y Evaluación de la Gestión de Emprendimientos </t>
  </si>
  <si>
    <t>Número</t>
  </si>
  <si>
    <t>Mediana (en minutos) de comportamiento sedentario durante un día normal en adultos (18-69 años)</t>
  </si>
  <si>
    <t>Encuesta 
Nacional de Empleo, Desempleo y Subempleo (ENEMDU)</t>
  </si>
  <si>
    <t>Dirección de Regulación y Promoción de Recursos complementarios para el deporte y actividad Física</t>
  </si>
  <si>
    <t>Mediana (en minutos) de comportamiento sedentario durante un día normal en niños y jóvenes (18-69 años), considerando los dominios: trabajo/estudio (incluye trabajo remunerado y no remunerado), al desplazarse, y en tiempo libre.</t>
  </si>
  <si>
    <t>Prevalencia de actividad física insuficiente en adultos (18- 69 años).</t>
  </si>
  <si>
    <t>Dirección de Regulación y Promoción de Recursos complementarios para el deporte y actividad física</t>
  </si>
  <si>
    <t>Porcentaje de la población, de 18-69 años de edad, que realiza menos de 150 minutos de actividad física aeróbica moderada, y menos de 75 minutos de actividad física aeróbica vigorosa, y menos de una combinación equivalente de actividad moderada y vigorosa a la semana; expresada como porcentaje de la población total del mismo grupo etario.</t>
  </si>
  <si>
    <t>Porcentaje</t>
  </si>
  <si>
    <t>Encuesta Nacional de Empleo, Desempleo y Subempleo (ENEMDU)</t>
  </si>
  <si>
    <t>Prevalencia de actividad física insuficiente en niños y jóvenes (5-17 años).</t>
  </si>
  <si>
    <t xml:space="preserve"> Encuesta Nacional de Empleo, Desempleo y Subempleo (ENEMDU)</t>
  </si>
  <si>
    <t xml:space="preserve"> Dirección de Regulación y Promoción de Recursos complementarios para el deporte y actividad física</t>
  </si>
  <si>
    <t>Porcentaje de la población, de 5-17 años de edad, que realiza menos de 60 minutos de actividad física moderada o vigorosa durante últimos 7 días; expresado como porcentaje de la población total del mismo grupo etario.</t>
  </si>
  <si>
    <t>Porcentaje de personas de 18 a 29 años de edad con bachillerato completo.</t>
  </si>
  <si>
    <t>Encuesta de Empleo, Desempleo y Subempleo (ENEMDU)</t>
  </si>
  <si>
    <t>Dirección de Educación para Personas con Escolaridad Inconclusa</t>
  </si>
  <si>
    <t>Porcentaje de estudiantes de cuarto grado de Educación General Básica que alcanzaron o superaron el nivel mínimo de competencia en la asignatura de Lengua y Literatura, según los resultados de la evaluación Ser Estudiante.</t>
  </si>
  <si>
    <t>Dirección Nacional de Estándares Educativos</t>
  </si>
  <si>
    <t>Porcentaje de estudiantes de cuarto grado de Educación General Básica que alcanzaron o superaron el nivel mínimo de competencia en la asignatura de Matemáticas, según los resultados de la evaluación Ser Estudiante.</t>
  </si>
  <si>
    <t>Porcentaje de Instituciones Educativas del Sistema de Educación Intercultural Bilingüe en los que se implementa el Modelo del Sistema de Educación Intercultural Bilingüe (MOSEIB).</t>
  </si>
  <si>
    <t>Dirección de Planificación y Gestión Estratégica (SEIBE)</t>
  </si>
  <si>
    <t>Secretaría de Educación Intercultural Bilingüe y la
Etnoeducación</t>
  </si>
  <si>
    <t>Estadísticas del Archivo
Maestro de Instituciones Educativas – AMIE</t>
  </si>
  <si>
    <t>Porcentaje de víctimas de violencia sexual, detectadas, cometidas y registradas en el ámbito educativo, que recibieron un plan de acompañamiento de restitución de derechos</t>
  </si>
  <si>
    <t>Registro Interno de los
Casos de Violencia Sexual Detectados o Cometidos
en el Sistema Educativo Nacional – REDEVI</t>
  </si>
  <si>
    <t>Dirección de Ciudadanía, Derecho y Convicencia Escolar</t>
  </si>
  <si>
    <t>Viceministerio de Educación</t>
  </si>
  <si>
    <t>Viceministerio de Gestión Educativa</t>
  </si>
  <si>
    <t>Tasa bruta de matrícula en el Sistema Nacional de Educación</t>
  </si>
  <si>
    <t>Estadísticas del Archivo Maestro de Instituciones
Educativas – AMIE</t>
  </si>
  <si>
    <t>Tasa expresada en porcentaje</t>
  </si>
  <si>
    <t>Dirección de Educación Inicial y Básica
   Dirección de Bachillerato</t>
  </si>
  <si>
    <t>Relación entre el número de niñas, niños y adolescentes 
matriculados en los niveles de Educación Inicial, Educación General 
Básica y Bachillerato durante el año lectivo t–t+1, y la población 
total de 3 a 17 años, expresado en porcentaje, correspondiente al 
año t</t>
  </si>
  <si>
    <t>Porcentaje de estudiantes de tercero de Bachillerato que alcanzaron o superaron el nivel mínimo de competencia en la asignatura de Lengua y Literatura, según los resultados de la evaluación Ser Estudiante.</t>
  </si>
  <si>
    <t>Relación entre el número de estudiantes de cuarto grado de 
Educación General Básica que alcanzaron o superaron el nivel 
mínimo de competencia en la asignatura de Lengua y Literatura, y 
el total de estudiantes evaluados en dicho nivel y asignatura, según 
los resultados de la evaluación Ser Estudiante (SEST), expresado en 
porcentaje, en el año lectivo correspondiente.</t>
  </si>
  <si>
    <t>Porcentaje de estudiantes de tercero de Bachillerato que alcanzaron o superaron el nivel mínimo de competencia en la asignatura de Matemáticas, según los resultados de la evaluación Ser Estudiante.</t>
  </si>
  <si>
    <t>Número de investigadores por cada mil integrantes de la Población Económicamente Activa</t>
  </si>
  <si>
    <t xml:space="preserve">Encuesta Nacional de Empleo, Desempleo ySubempleo (ENEMDU) anual </t>
  </si>
  <si>
    <t>Dirección de Investigación Científica</t>
  </si>
  <si>
    <t>Viceministerio de Educación Superior</t>
  </si>
  <si>
    <t>Tasa por 1.000</t>
  </si>
  <si>
    <t>Número de becas y ayudas económicas otorgadas para estudios de educación superior y educación continua</t>
  </si>
  <si>
    <t>Dirección de Diseño y Evaluación de Política Pública</t>
  </si>
  <si>
    <t>Expresa el número de becas y ayudas económicas otorgadas o 
gestionadas por el Ministerio de Educación, Deporte y Cultura 
(MINEDEC) para estudios de educación superior y/o educación 
continua, en un período de tiempo determinado. Incluye a 
universidades, escuelas politécnicas, institutos superiores técnicos 
y tecnológicos, así como centros de capacitación, considerando 
todas las fuentes de financiamiento.</t>
  </si>
  <si>
    <t>Registros Administrativos. Secretaría de Educación Superior, Ciencia, Tecnología e Innovación: Registro de Becas y Ayudas Económicas.</t>
  </si>
  <si>
    <t>Tasa bruta de matrícula en educación superior de tercer nivel.</t>
  </si>
  <si>
    <t>Dirección de Gestión Universitaria y Politécnica</t>
  </si>
  <si>
    <t>Relación entre la población matriculada en los niveles técnico superior, 
tecnológico superior y tercer nivel de grado en instituciones de educación 
superior, y la población de 18 a 24 años de edad, expresado en porcentaje.</t>
  </si>
  <si>
    <t xml:space="preserve">Sistema Integral de Información de Educación Superior – SIIES, Sistema de Levantamiento de Institutos Superiores Técnicos y Tecnológicos, </t>
  </si>
  <si>
    <t>Tasa de variación del número de visitas a repositorios de la memoria social y espacios culturales</t>
  </si>
  <si>
    <t>Subsecretaría de Memoria Social</t>
  </si>
  <si>
    <t>Corresponde a la variación porcentual del número de visitas 
registradas en repositorios de la memoria social y espacios 
culturales que ofrecen acceso a bienes culturales y patrimoniales, 
expresiones culturales y servicios artísticos dirigidos al público, 
respecto al valor del año base, 2023.</t>
  </si>
  <si>
    <t>Tasa</t>
  </si>
  <si>
    <t>Tasa anual de eficiencia deportiva por tipo de evento multideportivo internacional (medallas por cada 100 atletas).</t>
  </si>
  <si>
    <t>Dirección de Deporte de Alto Rendimiento</t>
  </si>
  <si>
    <t>Mide el rendimiento competitivo del país en eventos del ciclo 
olímpico y paralímpico (2025–2028), expresado como la cantidad 
de medallas obtenidas por cada 100 atletas participantes, de forma 
anual y por tipo de evento. Sirve para evaluar el impacto de los 
programas de alto rendimiento y planificar mejoras futuras.</t>
  </si>
  <si>
    <t>Tasa por 100 atletas participantes.</t>
  </si>
  <si>
    <t>Registros Administrativos con potencial estadístico: Ministerio de Educación, Deporte y Cultura. a) Registro del Medallero; b) Registro del Proyecto Fortalecimiento del Deporte de Alto Rendimiento del Ecuador</t>
  </si>
  <si>
    <t xml:space="preserve">Anual y por evento.
</t>
  </si>
  <si>
    <t>Fórmula de Cálculo</t>
  </si>
  <si>
    <t>\textbf{Fórmula:}
$$Med_{cs}^{5-17} = \left( cs_{n/2}^{5-17} \right) + \left( cs_{(n/2)+1}^{5-17} \right) \Big/ 2 \; ; \; \text{Si } n \text{ es par}$$
$$Med_{cs}^{5-17} = cs_{(n+1)/2}^{5-17} \; ; \; \text{Si } n \text{ impar}$$
\textbf{Donde:}
$Med_{cs}^{5-17}$: Mediana del tiempo sentado o recostado en un día normal en niños y jóvenes (5-17 años).
$cs^{5-17}$: Tiempo (minutos) sentado o recostado en un día normal en niños y jóvenes (5-17 años), cuando no están en la escuela/colegio o haciendo tareas escolares.
$n$: Cantidad de datos
$cs_{n/2}^{5-17}$: Valor de la variable tiempo (minutos) sentado o recostado en un día normal en niños y jóvenes (5-17 años), que ocupa la posición n/2, una vez que los datos han sido ordenados (en orden creciente o decreciente).
$cs_{(n/2)+1}^{5-17}$: Valor de la variable tiempo (minutos) sentado o recostado en un día normal en niños y jóvenes (5-17 años), que ocupa la posición (n/2)+1, una vez que los datos han sido ordenados (en orden creciente o decreciente).
$cs_{(n+1)/2}^{5-17}$: Valor de la variable tiempo (minutos) sentado o recostado en un día normal en niños y jóvenes (5-17 años), que ocupa la posición (n+1)/2, una vez que los datos han sido ordenados (en orden creciente o decreciente).</t>
  </si>
  <si>
    <t>Fecha de Corte</t>
  </si>
  <si>
    <t>Fecha de Transferencia</t>
  </si>
  <si>
    <t>\textbf{Fórmula:}
$$Med_{cs}^{18-69}=\frac{cs_{n/2}^{18-69}+cs_{(n/2)+1}^{18-69}}{2}\;;\;\text{Si }n\text{ es par}$$
$$Med_{cs}^{18-69}=cs_{(n+1)/2}^{18-69}\;;\;\text{Si }n\text{ es impar}$$
\textbf{Donde:}
$Med_{cs}^{18-69}$: Mediana del tiempo sentado o recostado en un día normal en adultos (18-69 años).
$cs^{18-69}$: Tiempo (minutos) sentado o recostado en un día normal en adultos (18-69 años), considerando los dominios: trabajo/estudio (incluye trabajo remunerado y no remunerado), al desplazarse, en la casa y en el tiempo libre.
$n$: Cantidad de datos.
$cs_{n/2}^{18-69}$: Valor de la variable tiempo (minutos) sentado o recostado en un día normal en adultos (18-69 años), que ocupa la posición $n/2$, una vez que los datos han sido ordenados (en orden creciente o decreciente).
$cs_{(n/2)+1}^{18-69}$: Valor de la variable tiempo (minutos) sentado o recostado en un día normal en adultos (18-69 años), que ocupa la posición $(n/2)+1$, una vez que los datos han sido ordenados (en orden creciente o decreciente).
$cs_{(n+1)/2}^{18-69}$: Valor de la variable tiempo (minutos) sentado o recostado en un día normal en adultos (18-69 años), que ocupa la posición $(n+1)/2$, una vez que los datos han sido ordenados (en orden creciente o decreciente).</t>
  </si>
  <si>
    <t>\textbf{Fórmula:}
$$N=AB_t+GC_t+CF_t$$
\textbf{Donde:}
$N$: Número de becas y ayudas económicas otorgadas para estudios de educación superior y educación continua.
$AB_t$: Número de becas y ayudas económicas otorgadas por la SENESCYT en el año $t$.
$GC_t$: Número de becas otorgadas por el programa Globo Común y gestionadas por la SENESCYT en el año $t$.
$CF_t$: Número de becas cofinanciadas por universidades públicas a través del FOPEDEUPO y gestionadas por la SENESCYT en el año $t$.</t>
  </si>
  <si>
    <t>Este indicador representa la relación entre el número de 
investigadores registrados y acreditados por la Secretaría de 
Educación Superior, Ciencia, Tecnología e Innovación (SENESCYT) y el 
total de la Población Económicamente Activa (PEA), para un período 
determinado. Se expresa como una tasa por mil, lo que permite 
dimensionar la participación de investigadores dentro del mercado 
laboral nacional.</t>
  </si>
  <si>
    <t>\textbf{Fórmula:}
$$\mathrm{Inv.1000PEA}=
\frac{
N.\,\mathrm{pers.reg}_{t:\mathrm{acumulada}}+
N.\,\mathrm{inv.acred}_{t:\mathrm{acumulada}}
}{PEA}\times 1000$$
\textbf{Donde:}
$\mathrm{Inv.1000PEA}$: Número de investigadores por cada mil integrantes de la Población Económicamente Activa.
$N.\,\mathrm{pers.reg}_{t:\mathrm{acumulada}}$: Número de personas naturales relacionadas con actividades de investigación y/o desarrollo tecnológico, registradas por la Secretaría de Educación Superior, Ciencia, Tecnología e Innovación, según el año $t$.
$N.\,\mathrm{inv.acred}_{t:\mathrm{acumulada}}$: Número de investigadores acreditados por la Secretaría de Educación Superior, Ciencia, Tecnología e Innovación, según el año $t$.
$PEA$: Población Económicamente Activa, según el año $t$.
Nota 1: El número de personas naturales registradas con actividades de investigación se contabiliza de manera acumulada desde 2018 hasta el año de análisis.
Nota 2: El número de investigadores acreditados se contabiliza de manera acumulada desde 2014 hasta el año de análisis.</t>
  </si>
  <si>
    <t>Mide el número de obras, proyectos y, producciones artísticas y 
culturales financiadas con fondos de fomento no reembolsables.</t>
  </si>
  <si>
    <t>\textbf{Fórmula:}
$$NOPP_t=\sum_{i=1}^{n}NOPP_{it}$$
\textbf{Donde:}
$NOPP_t$: Número total de obras, proyectos y producciones artísticas y culturales financiados con fondos de fomento no reembolsables en el año $t$.
$NOPP_{it}$: Número de obras, proyectos y producciones artísticas y culturales financiados con fondos de fomento no reembolsables, correspondientes al elemento $i$, en el año $t$.
$n$: Número total de obras, proyectos y producciones artísticas y culturales consideradas en el año $t$.
$i$: Índice que identifica cada obra, proyecto o producción artística y cultural.</t>
  </si>
  <si>
    <t>2023-2024</t>
  </si>
  <si>
    <t>2024-2025</t>
  </si>
  <si>
    <t>2025-2026</t>
  </si>
  <si>
    <t>2026-2027</t>
  </si>
  <si>
    <t>2027-2028</t>
  </si>
  <si>
    <t>2028-2029</t>
  </si>
  <si>
    <t>2029-2030</t>
  </si>
  <si>
    <t>\textbf{Fórmula:}
$$Pe4Egb_{S,L}=
\frac{Ne4Egb_{S,L}}{NTe4Egb_{E,L}}\times 100$$
\textbf{Donde:}
$Pe4Egb_{S,L}$: Porcentaje de estudiantes de cuarto grado de Educación General Básica que alcanzaron o superaron el nivel mínimo de competencia en la asignatura de Lengua y Literatura, según los resultados de la evaluación Ser Estudiante.
$Ne4Egb_{S,L}$: Número de estudiantes de cuarto grado de Educación General Básica que alcanzaron o superaron el nivel mínimo de competencia en la asignatura de Lengua y Literatura (700 a 1.000 puntos), según los resultados de la evaluación Ser Estudiante (SEST), en un año lectivo determinado.
$NTe4Egb_{E,L}$: Total de estudiantes de cuarto grado de Educación General Básica que fueron evaluados en la asignatura de Lengua y Literatura, según los resultados de la evaluación Ser Estudiante (SEST), en un año lectivo determinado.</t>
  </si>
  <si>
    <t>El 10 de febrero de cada año</t>
  </si>
  <si>
    <t>El 28 de febrero de cada año se transfiere la información 
del año previo.</t>
  </si>
  <si>
    <t>El 28 de febrero de cada año se transfiere la 
información del año previo.</t>
  </si>
  <si>
    <t xml:space="preserve">El 31 de enero de cada año </t>
  </si>
  <si>
    <t>Al 15 de marzo de cada año</t>
  </si>
  <si>
    <t>El 28 febrero de cada año</t>
  </si>
  <si>
    <t>\textbf{Fórmula:}
$$
Pe4Egb_{S,M}
=
\frac{Ne4Egb_{S,M}}{NTe4Egb_{E,M}}
\times 100
$$
\textbf{Donde:}
$Pe4Egb_{S,M}$: Porcentaje de estudiantes de cuarto grado de Educación General Básica que alcanzaron o superaron el nivel mínimo de competencia en la asignatura de Matemáticas, según los resultados de la evaluación Ser Estudiante.
$Ne4Egb_{S,M}$: Número de estudiantes de cuarto grado de Educación General Básica que alcanzaron o superaron el nivel mínimo de competencia en la asignatura de Matemáticas (700 a 1.000 puntos), según los resultados de la evaluación Ser Estudiante (SEST), en el año lectivo correspondiente.
$NTe4Egb_{E,M}$: Total de estudiantes de cuarto grado de Educación General Básica que fueron evaluados en la asignatura de Matemáticas, según los resultados de la evaluación Ser Estudiante (SEST), en el año lectivo correspondiente.</t>
  </si>
  <si>
    <t>\textbf{Fórmula:}
$$
Pe3B_{S,L}
=
\frac{Ne3B_{S,L}}{NTe3B_{E,L}}
\times 100
$$
\textbf{Donde:}
$Pe3B_{S,L}$: Porcentaje de estudiantes de tercero de Bachillerato que alcanzaron o superaron el nivel mínimo de competencia en la asignatura de Lengua y Literatura, según los resultados de la evaluación Ser Estudiante.
$Ne3B_{S,L}$: Número de estudiantes de tercero de Bachillerato que alcanzaron o superaron el nivel mínimo de competencia en la asignatura de Lengua y Literatura (700 a 1.000 puntos), según los resultados de la evaluación Ser Estudiante (SEST).
$NTe3B_{E,L}$: Total de estudiantes de tercero de Bachillerato que fueron evaluados en la asignatura de Lengua y Literatura, según los resultados de la evaluación Ser Estudiante (SEST).</t>
  </si>
  <si>
    <t>Relación entre el número de estudiantes de tercero de Bachillerato 
que alcanzaron o superaron el nivel mínimo de competencia en la 
asignatura de Matemáticas, y el total de estudiantes evaluados en 
dicho nivel y asignatura, según los resultados de la evaluación Ser 
Estudiante (SEST), expresado en porcentaje, en el año lectivo 
correspondiente.</t>
  </si>
  <si>
    <t>Relación entre el número de estudiantes de tercero de Bachillerato 
que alcanzaron o superaron el nivel mínimo de competencia en la 
asignatura de Lengua y Literatura, y el total de estudiantes 
evaluados en dicho nivel y asignatura, según los resultados de la 
evaluación Ser Estudiante (SEST), expresado en porcentaje, en el 
año lectivo correspondiente.</t>
  </si>
  <si>
    <t>\textbf{Fórmula:}
$$
Pe3B_{S,M}
=
\frac{Ne3B_{S,M}}{NTe3B_{E,M}}
\times 100
$$
\textbf{Donde:}
$Pe3B_{S,M}$: Porcentaje de estudiantes de tercero de Bachillerato que alcanzaron o superaron el nivel mínimo de competencia en la asignatura de Matemáticas, según los resultados de la evaluación Ser Estudiante.
$Ne3B_{S,M}$: Número de estudiantes de tercero de Bachillerato que alcanzaron o superaron el nivel mínimo de competencia en la asignatura de Matemáticas (700 a 1.000 puntos), según los resultados de la evaluación Ser Estudiante (SEST), en un año lectivo determinado.
$NTe3B_{E,M}$: Total de estudiantes de tercero de Bachillerato que fueron evaluados en la asignatura de Matemáticas, según los resultados de la evaluación Ser Estudiante (SEST), en un año lectivo determinado.</t>
  </si>
  <si>
    <t>Relación entre el número de instituciones educativas del 
Sistema de Educación Intercultural Bilingüe que implementan 
el Modelo del Sistema de Educación Intercultural Bilingüe 
(MOSEIB) y el total de instituciones educativas del Sistema de 
Educación Intercultural Bilingüe, correspondiente al año 
lectivo (t, t+1), expresado en porcentaje.</t>
  </si>
  <si>
    <t>\textbf{Fórmula:}
$$
PIEB_{MOSEIB}
=
\frac{IEB_{MOSEIB,(t,t+1)}}{TIEB_{(t,t+1)}}
\times 100
$$
\textbf{Donde:}
$PIEB_{MOSEIB}$: Porcentaje de instituciones educativas del Sistema de Educación Intercultural Bilingüe en las que se implementa el Modelo del Sistema de Educación Intercultural Bilingüe (MOSEIB).
$IEB_{MOSEIB,(t,t+1)}$: Número de instituciones educativas del Sistema de Educación Intercultural Bilingüe con el MOSEIB implementado en el año lectivo $t,t+1$.
$TIEB_{(t,t+1)}$: Total de instituciones educativas del Sistema de Educación Intercultural Bilingüe en el año lectivo $t,t+1$.</t>
  </si>
  <si>
    <t>\textbf{Fórmula:}
$$
PPBHC(t)
=
\frac{PBHC(t)}{PT(t)}
\times 100
$$
\textbf{Donde:}
$PPBHC(t)$: Porcentaje de personas de 18 a 29 años de edad con bachillerato completo.
$PBHC(t)$: Número de personas de 18 a 29 años de edad con bachillerato completo, en un año determinado $t$.
$PT(t)$: Total de personas de 18 a 29 años de edad, en un año determinado $t$.</t>
  </si>
  <si>
    <t>Relación entre la población de 18 a 29 años de edad, que ha culminado 
los estudios a nivel de bachillerato, respecto a la población del mismo 
grupo etario, en un año determinado, expresado en porcentaje.</t>
  </si>
  <si>
    <t>El 30 de marzo de cada año</t>
  </si>
  <si>
    <t>Relación entre el número de estudiantes víctimas de violencia 
sexual, detectados y cuyos casos ocurrieron y fueron registrados en 
el ámbito educativo, que recibieron un plan de acompañamiento y 
restitución de derechos, respecto del total de estudiantes víctimas 
de violencia sexual detectadas o cuyos casos ocurrieron y fueron 
registrados en el ámbito educativo, en el año (t). El resultado se 
expresa en porcentaje.</t>
  </si>
  <si>
    <t>\textbf{Fórmula:}
$$
PVVSpa(t)
=
\frac{VVSpa(t)}{VVSAE(t)}
\times 100
$$
\textbf{Donde:}
$PVVSpa$: Porcentaje de víctimas de violencia sexual detectadas, cometidas y registradas en el ámbito educativo, que recibieron un plan de acompañamiento y restitución de derechos.
$VVSpa(t)$: Número de estudiantes víctimas de violencia sexual, registrados y cuyos casos ocurrieron en el ámbito educativo, que recibieron un plan de acompañamiento y restitución de derechos en el año $t$.
$VVSAE(t)$: Número total de estudiantes víctimas de violencia sexual detectadas o cuyos casos ocurrieron y fueron registrados en el ámbito educativo en el año $t$.</t>
  </si>
  <si>
    <t xml:space="preserve">El 28 de febrero de cada año </t>
  </si>
  <si>
    <t>El 28 de febrero de cada año</t>
  </si>
  <si>
    <t>\textbf{Fórmula:}
$$
Prev_{afi}^{18-69}
=
\frac{P_{afi}^{18-69}}{P_{Total}^{18-69}}
\times 100
$$
\textbf{Donde:}
$Prev_{afi}^{18-69}$: Prevalencia de actividad física insuficiente en adultos de 18 a 69 años.
$P_{afi}^{18-69}$: Población de 18 a 69 años que realiza menos de 150 minutos de actividad física aeróbica moderada y menos de 75 minutos de actividad física aeróbica vigorosa, así como menos de una combinación equivalente de actividad moderada y vigorosa a la semana.
$P_{Total}^{18-69}$: Población total de 18 a 69 años.</t>
  </si>
  <si>
    <t>\textbf{Fórmula:}
$$
Prev_{afi}^{5-17}
=
\frac{P_{afi}^{5-17}}{P_{Total}^{5-17}}
\times 100
$$
\textbf{Donde:}
$Prev_{afi}^{5-17}$: Prevalencia de actividad física insuficiente en niños y jóvenes de 5 a 17 años.
$P_{afi}^{5-17}$: Población de 5 a 17 años que realiza menos de 60 minutos diarios de actividad física moderada o vigorosa durante los últimos siete días.
$P_{Total}^{5-17}$: Población total de 5 a 17 años.</t>
  </si>
  <si>
    <t>El 31 de diciembre de cada año</t>
  </si>
  <si>
    <t>Al 30 de septiembre de cada año</t>
  </si>
  <si>
    <t>\textbf{Fórmula:}
$$
TBMES_t
=
\frac{NMTT_i + NMTN_i}{NP_{18-24}}
\times 100
$$
\textbf{Donde:}
$TBMES_t$: Tasa bruta de matrícula en educación superior de tercer nivel.
$NMTT_i$: Número de personas matriculadas en los niveles técnico superior y tecnológico superior en el año $t$.
$NMTN_i$: Número de personas matriculadas en tercer nivel de grado en instituciones de educación superior en el año $t$.
$NP_{18-24}$: Estimaciones y proyecciones de población de 18 a 24 años en el año $t$.</t>
  </si>
  <si>
    <t>\textbf{Fórmula:}
$$
TBMSEGO
=
\frac{Matr\_Nivel(t,t+1)}{P_{3-17}(t)}
\times 100
$$
\textbf{Donde:}
$TBMSE$: Tasa bruta de matrícula en el Sistema Nacional de Educación.
$Matr\_Nivel(t,t+1)$: Número de estudiantes registrados en el Sistema Nacional de Educación, desde el nivel de Educación Inicial hasta tercero de Bachillerato, en el año lectivo $t,t+1$.
$P_{3-17}(t)$: Población total de 3 a 17 años en el año $t$.</t>
  </si>
  <si>
    <t>El 30 de abril de cada año</t>
  </si>
  <si>
    <t>\textbf{Fórmula:}
$$
T.Var.Visit.Cul_{Rep\,y\,esp}
=
\frac{Visit.Cul_t-Visit.Cul_{base:2023}}
{Visit.Cul_{base:2023}}
\times 100
$$
\textbf{Donde:}
$T.Var.Visit.Cul_{Rep\,y\,esp}$: Tasa de variación del número de visitas a repositorios de la memoria social y espacios culturales.
$Visit.Cul_t$: Número de visitas registradas en repositorios de la memoria social y espacios culturales dirigidos al público durante el año $t$.
$Visit.Cul_{base:2023}$: Número de visitas registradas en repositorios de la memoria social y espacios culturales dirigidos al público en el año base 2023.</t>
  </si>
  <si>
    <t>Registro Administrativo
Ministerio de Cultura y Patrimonio. 
Registro de Visitas a Repositorios de la 
Memoria Social y Espacios Culturales</t>
  </si>
  <si>
    <t>\[
TED=\left(\frac{NMO_i}{TAP_i}\right)\times 100
\]
\textbf{Donde:}
\begin{itemize}
    \item \(TED\): Tasa anual de eficiencia deportiva.
    \item \(NMO\): Número de medallas obtenidas.
    \item \(TAP\): Total de atletas participantes.
    \item \(i\): Evento del ciclo olímpico o paralímpico.
\end{itemize}</t>
  </si>
  <si>
    <t>Instituto Nacional de Evaluación Educativa –
INEVAL. Examen de Evaluación Educativa Ser 
Estudiante – SEST.</t>
  </si>
  <si>
    <t>El dato del año 2024 es preliminar y no constituye una meta. Sin embargo, se incluye con el 
propósito de ilustrar la tendencia de la serie de tiempo.</t>
  </si>
  <si>
    <t>* 2024 considerado como año atípico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</si>
</sst>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name val="Aptos Narrow"/>
      <family val="2"/>
    </font>
    <font>
      <sz val="10"/>
      <color rgb="FF000000"/>
      <name val="Aptos Display"/>
      <family val="2"/>
    </font>
    <font>
      <sz val="11"/>
      <color rgb="FF242424"/>
      <name val="Aptos Narrow"/>
      <family val="2"/>
    </font>
    <font>
      <sz val="8"/>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6">
    <xf numFmtId="0" fontId="0" fillId="0" borderId="0" xfId="0"/>
    <xf numFmtId="0" fontId="2" fillId="0" borderId="1" xfId="0" applyFont="1" applyBorder="1" applyAlignment="1">
      <alignment vertical="top"/>
    </xf>
    <xf numFmtId="0" fontId="2" fillId="0" borderId="1" xfId="0" applyFont="1" applyBorder="1" applyAlignment="1">
      <alignment vertical="center"/>
    </xf>
    <xf numFmtId="0" fontId="0" fillId="0" borderId="1" xfId="0" applyBorder="1"/>
    <xf numFmtId="0" fontId="3" fillId="0" borderId="1" xfId="0" applyFont="1" applyBorder="1"/>
    <xf numFmtId="0" fontId="1" fillId="2" borderId="1" xfId="0" applyFont="1" applyFill="1" applyBorder="1"/>
    <xf numFmtId="0" fontId="4" fillId="0" borderId="0" xfId="0" applyFont="1"/>
    <xf numFmtId="0" fontId="2" fillId="0" borderId="2" xfId="0" applyFont="1" applyBorder="1" applyAlignment="1">
      <alignment vertical="top"/>
    </xf>
    <xf numFmtId="0" fontId="2" fillId="0" borderId="2" xfId="0" applyFont="1" applyBorder="1" applyAlignment="1">
      <alignment vertical="center"/>
    </xf>
    <xf numFmtId="0" fontId="0" fillId="0" borderId="0" xfId="0" applyAlignment="1">
      <alignment wrapText="1"/>
    </xf>
    <xf numFmtId="0" fontId="3" fillId="0" borderId="0" xfId="0" applyFont="1"/>
    <xf numFmtId="0" fontId="0" fillId="0" borderId="2" xfId="0" applyBorder="1"/>
    <xf numFmtId="0" fontId="1" fillId="2" borderId="2" xfId="0" applyFont="1" applyFill="1" applyBorder="1"/>
    <xf numFmtId="0" fontId="4" fillId="0" borderId="0" xfId="0" applyFont="1" applyAlignment="1">
      <alignment wrapText="1"/>
    </xf>
    <xf numFmtId="3" fontId="0" fillId="0" borderId="0" xfId="0" applyNumberFormat="1"/>
    <xf numFmtId="0" fontId="4"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RicardoCastellanos\Dashboard_CGTGE\Dashboard_CGTGEv2\KPI_INSTITUCIONALES.xlsx" TargetMode="External"/><Relationship Id="rId1" Type="http://schemas.openxmlformats.org/officeDocument/2006/relationships/externalLinkPath" Target="KPI_INSTITUCION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s>
    <sheetDataSet>
      <sheetData sheetId="0">
        <row r="3">
          <cell r="Q3" t="str">
            <v>Cumplimiento sobre la meta</v>
          </cell>
        </row>
      </sheetData>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A1FF0-28C6-4AF5-9A15-8F10674990A8}">
  <sheetPr filterMode="1"/>
  <dimension ref="B1:T114"/>
  <sheetViews>
    <sheetView tabSelected="1" topLeftCell="H8" zoomScale="90" zoomScaleNormal="90" workbookViewId="0">
      <selection activeCell="R9" sqref="R9"/>
    </sheetView>
  </sheetViews>
  <sheetFormatPr baseColWidth="10" defaultColWidth="3.42578125" defaultRowHeight="15" x14ac:dyDescent="0.25"/>
  <cols>
    <col min="2" max="2" width="40" bestFit="1" customWidth="1"/>
    <col min="3" max="3" width="89.5703125" customWidth="1"/>
    <col min="4" max="4" width="27.42578125" customWidth="1"/>
    <col min="5" max="9" width="56.7109375" customWidth="1"/>
    <col min="10" max="10" width="21.140625" customWidth="1"/>
    <col min="11" max="12" width="14.42578125" customWidth="1"/>
    <col min="13" max="16" width="11.7109375" customWidth="1"/>
    <col min="17" max="17" width="26.5703125" bestFit="1" customWidth="1"/>
    <col min="18" max="18" width="37.7109375" customWidth="1"/>
    <col min="19" max="19" width="24.42578125" customWidth="1"/>
    <col min="20" max="20" width="14.5703125" customWidth="1"/>
  </cols>
  <sheetData>
    <row r="1" spans="2:20" x14ac:dyDescent="0.25">
      <c r="B1" s="5" t="s">
        <v>0</v>
      </c>
      <c r="C1" s="5" t="s">
        <v>2</v>
      </c>
      <c r="D1" s="5" t="s">
        <v>4</v>
      </c>
      <c r="E1" s="5" t="s">
        <v>5</v>
      </c>
      <c r="F1" s="5" t="s">
        <v>18</v>
      </c>
      <c r="G1" s="5" t="s">
        <v>20</v>
      </c>
      <c r="H1" s="5" t="s">
        <v>21</v>
      </c>
      <c r="I1" s="5" t="s">
        <v>16</v>
      </c>
      <c r="J1" s="12" t="s">
        <v>91</v>
      </c>
      <c r="K1" s="5" t="s">
        <v>7</v>
      </c>
      <c r="L1" s="5" t="s">
        <v>8</v>
      </c>
      <c r="M1" s="5" t="s">
        <v>9</v>
      </c>
      <c r="N1" s="5" t="s">
        <v>10</v>
      </c>
      <c r="O1" s="5" t="s">
        <v>11</v>
      </c>
      <c r="P1" s="5" t="s">
        <v>12</v>
      </c>
      <c r="Q1" s="5" t="s">
        <v>14</v>
      </c>
      <c r="R1" s="5" t="s">
        <v>13</v>
      </c>
      <c r="S1" s="12" t="s">
        <v>88</v>
      </c>
      <c r="T1" s="12" t="s">
        <v>90</v>
      </c>
    </row>
    <row r="2" spans="2:20" ht="409.5" hidden="1" x14ac:dyDescent="0.25">
      <c r="B2" s="3" t="s">
        <v>1</v>
      </c>
      <c r="C2" s="2" t="s">
        <v>3</v>
      </c>
      <c r="D2" s="2" t="s">
        <v>6</v>
      </c>
      <c r="E2" s="1" t="s">
        <v>31</v>
      </c>
      <c r="F2" s="2" t="s">
        <v>19</v>
      </c>
      <c r="G2" s="1" t="s">
        <v>17</v>
      </c>
      <c r="H2" s="1" t="s">
        <v>22</v>
      </c>
      <c r="I2" s="1" t="s">
        <v>15</v>
      </c>
      <c r="J2" s="9" t="s">
        <v>108</v>
      </c>
      <c r="K2" s="1">
        <v>2024</v>
      </c>
      <c r="L2" s="3">
        <v>150</v>
      </c>
      <c r="M2" s="3"/>
      <c r="N2" s="3"/>
      <c r="O2" s="3"/>
      <c r="P2" s="3"/>
      <c r="Q2" s="3"/>
      <c r="R2" s="3"/>
      <c r="S2" s="9" t="s">
        <v>89</v>
      </c>
    </row>
    <row r="3" spans="2:20" ht="409.5" hidden="1" x14ac:dyDescent="0.25">
      <c r="B3" s="3" t="s">
        <v>1</v>
      </c>
      <c r="C3" s="2" t="s">
        <v>3</v>
      </c>
      <c r="D3" s="2" t="s">
        <v>6</v>
      </c>
      <c r="E3" s="1" t="s">
        <v>31</v>
      </c>
      <c r="F3" s="2" t="s">
        <v>19</v>
      </c>
      <c r="G3" s="1" t="s">
        <v>17</v>
      </c>
      <c r="H3" s="1" t="s">
        <v>22</v>
      </c>
      <c r="I3" s="1" t="s">
        <v>15</v>
      </c>
      <c r="J3" s="9" t="s">
        <v>108</v>
      </c>
      <c r="K3" s="1">
        <v>2025</v>
      </c>
      <c r="L3" s="3"/>
      <c r="M3" s="4">
        <v>148.75</v>
      </c>
      <c r="N3" s="3">
        <v>180</v>
      </c>
      <c r="O3" s="3"/>
      <c r="P3" s="3"/>
      <c r="Q3" s="3" t="b">
        <f>[1]Hoja1!$Q$3=IF(N3="","",IF(N3&gt;M3,"Cumplimiento sobre la meta",IF(M3=N3,"Cumpliento igual a la meta",IF(N3&lt;M3,"Incumplimiento de meta"))))</f>
        <v>1</v>
      </c>
      <c r="R3" s="3" t="s">
        <v>23</v>
      </c>
      <c r="S3" s="9" t="s">
        <v>89</v>
      </c>
    </row>
    <row r="4" spans="2:20" ht="409.5" hidden="1" x14ac:dyDescent="0.25">
      <c r="B4" s="3" t="s">
        <v>1</v>
      </c>
      <c r="C4" s="2" t="s">
        <v>3</v>
      </c>
      <c r="D4" s="2" t="s">
        <v>6</v>
      </c>
      <c r="E4" s="1" t="s">
        <v>31</v>
      </c>
      <c r="F4" s="2" t="s">
        <v>19</v>
      </c>
      <c r="G4" s="1" t="s">
        <v>17</v>
      </c>
      <c r="H4" s="1" t="s">
        <v>22</v>
      </c>
      <c r="I4" s="1" t="s">
        <v>15</v>
      </c>
      <c r="J4" s="9" t="s">
        <v>108</v>
      </c>
      <c r="K4" s="1">
        <v>2026</v>
      </c>
      <c r="L4" s="3"/>
      <c r="M4" s="4">
        <v>147.5</v>
      </c>
      <c r="N4" s="3"/>
      <c r="O4" s="3"/>
      <c r="P4" s="3"/>
      <c r="Q4" s="3" t="str">
        <f t="shared" ref="Q4:Q83" si="0">IF(N4="","",IF(N4&gt;M4,"Cumplimiento sobre la meta",IF(M4=N4,"Cumpliento igual a la meta",IF(N4&lt;M4,"Incumplimiento de meta"))))</f>
        <v/>
      </c>
      <c r="R4" s="3"/>
      <c r="S4" s="9" t="s">
        <v>89</v>
      </c>
    </row>
    <row r="5" spans="2:20" ht="409.5" hidden="1" x14ac:dyDescent="0.25">
      <c r="B5" s="3" t="s">
        <v>1</v>
      </c>
      <c r="C5" s="2" t="s">
        <v>3</v>
      </c>
      <c r="D5" s="2" t="s">
        <v>6</v>
      </c>
      <c r="E5" s="1" t="s">
        <v>31</v>
      </c>
      <c r="F5" s="2" t="s">
        <v>19</v>
      </c>
      <c r="G5" s="1" t="s">
        <v>17</v>
      </c>
      <c r="H5" s="1" t="s">
        <v>22</v>
      </c>
      <c r="I5" s="1" t="s">
        <v>15</v>
      </c>
      <c r="J5" s="9" t="s">
        <v>108</v>
      </c>
      <c r="K5" s="1">
        <v>2027</v>
      </c>
      <c r="L5" s="3"/>
      <c r="M5" s="4">
        <v>146.25</v>
      </c>
      <c r="N5" s="3"/>
      <c r="O5" s="4"/>
      <c r="P5" s="3"/>
      <c r="Q5" s="3" t="str">
        <f t="shared" si="0"/>
        <v/>
      </c>
      <c r="R5" s="3"/>
      <c r="S5" s="9" t="s">
        <v>89</v>
      </c>
    </row>
    <row r="6" spans="2:20" ht="409.5" hidden="1" x14ac:dyDescent="0.25">
      <c r="B6" s="3" t="s">
        <v>1</v>
      </c>
      <c r="C6" s="2" t="s">
        <v>3</v>
      </c>
      <c r="D6" s="2" t="s">
        <v>6</v>
      </c>
      <c r="E6" s="1" t="s">
        <v>31</v>
      </c>
      <c r="F6" s="2" t="s">
        <v>19</v>
      </c>
      <c r="G6" s="1" t="s">
        <v>17</v>
      </c>
      <c r="H6" s="1" t="s">
        <v>22</v>
      </c>
      <c r="I6" s="1" t="s">
        <v>15</v>
      </c>
      <c r="J6" s="9" t="s">
        <v>108</v>
      </c>
      <c r="K6" s="1">
        <v>2028</v>
      </c>
      <c r="L6" s="3"/>
      <c r="M6" s="4">
        <v>145</v>
      </c>
      <c r="N6" s="3"/>
      <c r="O6" s="4"/>
      <c r="P6" s="3"/>
      <c r="Q6" s="3" t="str">
        <f t="shared" si="0"/>
        <v/>
      </c>
      <c r="R6" s="3"/>
      <c r="S6" s="9" t="s">
        <v>89</v>
      </c>
    </row>
    <row r="7" spans="2:20" ht="409.5" hidden="1" x14ac:dyDescent="0.25">
      <c r="B7" s="3" t="s">
        <v>1</v>
      </c>
      <c r="C7" s="2" t="s">
        <v>3</v>
      </c>
      <c r="D7" s="2" t="s">
        <v>6</v>
      </c>
      <c r="E7" s="1" t="s">
        <v>31</v>
      </c>
      <c r="F7" s="2" t="s">
        <v>19</v>
      </c>
      <c r="G7" s="1" t="s">
        <v>17</v>
      </c>
      <c r="H7" s="1" t="s">
        <v>22</v>
      </c>
      <c r="I7" s="1" t="s">
        <v>15</v>
      </c>
      <c r="J7" s="9" t="s">
        <v>108</v>
      </c>
      <c r="K7" s="1">
        <v>2029</v>
      </c>
      <c r="L7" s="3"/>
      <c r="M7" s="4">
        <v>143.75</v>
      </c>
      <c r="N7" s="3"/>
      <c r="O7" s="3"/>
      <c r="P7" s="3"/>
      <c r="Q7" s="3" t="str">
        <f t="shared" si="0"/>
        <v/>
      </c>
      <c r="R7" s="3"/>
      <c r="S7" s="9" t="s">
        <v>89</v>
      </c>
    </row>
    <row r="8" spans="2:20" ht="409.5" x14ac:dyDescent="0.25">
      <c r="B8" s="3" t="s">
        <v>1</v>
      </c>
      <c r="C8" s="6" t="s">
        <v>24</v>
      </c>
      <c r="D8" s="8" t="s">
        <v>26</v>
      </c>
      <c r="E8" t="s">
        <v>27</v>
      </c>
      <c r="F8" s="9" t="s">
        <v>96</v>
      </c>
      <c r="G8" s="7" t="s">
        <v>28</v>
      </c>
      <c r="H8" s="6" t="s">
        <v>25</v>
      </c>
      <c r="I8" s="7" t="s">
        <v>15</v>
      </c>
      <c r="J8" t="s">
        <v>111</v>
      </c>
      <c r="K8" s="7">
        <v>2023</v>
      </c>
      <c r="L8">
        <v>289</v>
      </c>
      <c r="Q8" s="3" t="str">
        <f t="shared" si="0"/>
        <v/>
      </c>
      <c r="S8" s="9" t="s">
        <v>97</v>
      </c>
    </row>
    <row r="9" spans="2:20" ht="409.5" x14ac:dyDescent="0.25">
      <c r="B9" s="3" t="s">
        <v>1</v>
      </c>
      <c r="C9" s="6" t="s">
        <v>24</v>
      </c>
      <c r="D9" s="8" t="s">
        <v>26</v>
      </c>
      <c r="E9" t="s">
        <v>27</v>
      </c>
      <c r="F9" s="9" t="s">
        <v>96</v>
      </c>
      <c r="G9" s="7" t="s">
        <v>28</v>
      </c>
      <c r="H9" s="6" t="s">
        <v>25</v>
      </c>
      <c r="I9" s="7" t="s">
        <v>15</v>
      </c>
      <c r="J9" t="s">
        <v>111</v>
      </c>
      <c r="K9" s="7">
        <v>2024</v>
      </c>
      <c r="N9">
        <v>519</v>
      </c>
      <c r="Q9" s="3" t="str">
        <f t="shared" si="0"/>
        <v>Cumplimiento sobre la meta</v>
      </c>
      <c r="R9" t="s">
        <v>138</v>
      </c>
      <c r="S9" s="9" t="s">
        <v>97</v>
      </c>
    </row>
    <row r="10" spans="2:20" ht="409.5" x14ac:dyDescent="0.25">
      <c r="B10" s="3" t="s">
        <v>1</v>
      </c>
      <c r="C10" s="6" t="s">
        <v>24</v>
      </c>
      <c r="D10" s="8" t="s">
        <v>26</v>
      </c>
      <c r="E10" t="s">
        <v>27</v>
      </c>
      <c r="F10" s="9" t="s">
        <v>96</v>
      </c>
      <c r="G10" s="7" t="s">
        <v>28</v>
      </c>
      <c r="H10" s="6" t="s">
        <v>25</v>
      </c>
      <c r="I10" s="7" t="s">
        <v>15</v>
      </c>
      <c r="J10" t="s">
        <v>111</v>
      </c>
      <c r="K10" s="7">
        <v>2025</v>
      </c>
      <c r="M10">
        <v>363</v>
      </c>
      <c r="N10">
        <v>359</v>
      </c>
      <c r="Q10" s="3" t="str">
        <f t="shared" si="0"/>
        <v>Incumplimiento de meta</v>
      </c>
      <c r="S10" s="9" t="s">
        <v>97</v>
      </c>
    </row>
    <row r="11" spans="2:20" ht="409.5" x14ac:dyDescent="0.25">
      <c r="B11" s="3" t="s">
        <v>1</v>
      </c>
      <c r="C11" s="6" t="s">
        <v>24</v>
      </c>
      <c r="D11" s="8" t="s">
        <v>26</v>
      </c>
      <c r="E11" t="s">
        <v>27</v>
      </c>
      <c r="F11" s="9" t="s">
        <v>96</v>
      </c>
      <c r="G11" s="7" t="s">
        <v>28</v>
      </c>
      <c r="H11" s="6" t="s">
        <v>25</v>
      </c>
      <c r="I11" s="7" t="s">
        <v>15</v>
      </c>
      <c r="J11" t="s">
        <v>111</v>
      </c>
      <c r="K11" s="7">
        <v>2026</v>
      </c>
      <c r="M11">
        <v>406</v>
      </c>
      <c r="Q11" s="3" t="str">
        <f t="shared" si="0"/>
        <v/>
      </c>
      <c r="S11" s="9" t="s">
        <v>97</v>
      </c>
    </row>
    <row r="12" spans="2:20" ht="409.5" x14ac:dyDescent="0.25">
      <c r="B12" s="3" t="s">
        <v>1</v>
      </c>
      <c r="C12" s="6" t="s">
        <v>24</v>
      </c>
      <c r="D12" s="8" t="s">
        <v>26</v>
      </c>
      <c r="E12" t="s">
        <v>27</v>
      </c>
      <c r="F12" s="9" t="s">
        <v>96</v>
      </c>
      <c r="G12" s="7" t="s">
        <v>28</v>
      </c>
      <c r="H12" s="6" t="s">
        <v>25</v>
      </c>
      <c r="I12" s="7" t="s">
        <v>15</v>
      </c>
      <c r="J12" t="s">
        <v>111</v>
      </c>
      <c r="K12" s="7">
        <v>2027</v>
      </c>
      <c r="M12">
        <v>455</v>
      </c>
      <c r="Q12" s="3" t="str">
        <f t="shared" si="0"/>
        <v/>
      </c>
      <c r="S12" s="9" t="s">
        <v>97</v>
      </c>
    </row>
    <row r="13" spans="2:20" ht="409.5" x14ac:dyDescent="0.25">
      <c r="B13" s="3" t="s">
        <v>1</v>
      </c>
      <c r="C13" s="6" t="s">
        <v>24</v>
      </c>
      <c r="D13" s="8" t="s">
        <v>26</v>
      </c>
      <c r="E13" t="s">
        <v>27</v>
      </c>
      <c r="F13" s="9" t="s">
        <v>96</v>
      </c>
      <c r="G13" s="7" t="s">
        <v>28</v>
      </c>
      <c r="H13" s="6" t="s">
        <v>25</v>
      </c>
      <c r="I13" s="7" t="s">
        <v>15</v>
      </c>
      <c r="J13" t="s">
        <v>111</v>
      </c>
      <c r="K13" s="7">
        <v>2028</v>
      </c>
      <c r="M13">
        <v>509</v>
      </c>
      <c r="Q13" s="3" t="str">
        <f t="shared" si="0"/>
        <v/>
      </c>
      <c r="S13" s="9" t="s">
        <v>97</v>
      </c>
    </row>
    <row r="14" spans="2:20" ht="409.5" x14ac:dyDescent="0.25">
      <c r="B14" s="3" t="s">
        <v>1</v>
      </c>
      <c r="C14" s="6" t="s">
        <v>24</v>
      </c>
      <c r="D14" s="8" t="s">
        <v>26</v>
      </c>
      <c r="E14" t="s">
        <v>27</v>
      </c>
      <c r="F14" s="9" t="s">
        <v>96</v>
      </c>
      <c r="G14" s="7" t="s">
        <v>28</v>
      </c>
      <c r="H14" s="6" t="s">
        <v>25</v>
      </c>
      <c r="I14" s="7" t="s">
        <v>15</v>
      </c>
      <c r="J14" t="s">
        <v>111</v>
      </c>
      <c r="K14" s="7">
        <v>2029</v>
      </c>
      <c r="M14">
        <v>570</v>
      </c>
      <c r="Q14" s="3" t="str">
        <f t="shared" si="0"/>
        <v/>
      </c>
      <c r="S14" s="9" t="s">
        <v>97</v>
      </c>
    </row>
    <row r="15" spans="2:20" ht="409.5" hidden="1" x14ac:dyDescent="0.25">
      <c r="B15" s="3" t="s">
        <v>1</v>
      </c>
      <c r="C15" s="6" t="s">
        <v>29</v>
      </c>
      <c r="D15" t="s">
        <v>6</v>
      </c>
      <c r="E15" t="s">
        <v>31</v>
      </c>
      <c r="F15" t="s">
        <v>32</v>
      </c>
      <c r="G15" s="7" t="s">
        <v>17</v>
      </c>
      <c r="H15" s="9" t="s">
        <v>30</v>
      </c>
      <c r="I15" s="7" t="s">
        <v>15</v>
      </c>
      <c r="J15" s="9" t="s">
        <v>107</v>
      </c>
      <c r="K15" s="7">
        <v>2024</v>
      </c>
      <c r="L15">
        <v>180</v>
      </c>
      <c r="Q15" s="3" t="str">
        <f t="shared" si="0"/>
        <v/>
      </c>
      <c r="S15" s="9" t="s">
        <v>92</v>
      </c>
    </row>
    <row r="16" spans="2:20" ht="409.5" hidden="1" x14ac:dyDescent="0.25">
      <c r="B16" s="3" t="s">
        <v>1</v>
      </c>
      <c r="C16" s="6" t="s">
        <v>29</v>
      </c>
      <c r="D16" t="s">
        <v>6</v>
      </c>
      <c r="E16" t="s">
        <v>31</v>
      </c>
      <c r="F16" t="s">
        <v>32</v>
      </c>
      <c r="G16" s="7" t="s">
        <v>17</v>
      </c>
      <c r="H16" s="9" t="s">
        <v>30</v>
      </c>
      <c r="I16" s="7" t="s">
        <v>15</v>
      </c>
      <c r="J16" s="9" t="s">
        <v>107</v>
      </c>
      <c r="K16" s="7">
        <v>2025</v>
      </c>
      <c r="M16">
        <v>178.75</v>
      </c>
      <c r="N16">
        <v>180</v>
      </c>
      <c r="Q16" s="3" t="str">
        <f t="shared" si="0"/>
        <v>Cumplimiento sobre la meta</v>
      </c>
      <c r="S16" s="9" t="s">
        <v>92</v>
      </c>
    </row>
    <row r="17" spans="2:19" ht="409.5" hidden="1" x14ac:dyDescent="0.25">
      <c r="B17" s="3" t="s">
        <v>1</v>
      </c>
      <c r="C17" s="6" t="s">
        <v>29</v>
      </c>
      <c r="D17" t="s">
        <v>6</v>
      </c>
      <c r="E17" t="s">
        <v>31</v>
      </c>
      <c r="F17" t="s">
        <v>32</v>
      </c>
      <c r="G17" s="7" t="s">
        <v>17</v>
      </c>
      <c r="H17" s="9" t="s">
        <v>30</v>
      </c>
      <c r="I17" s="7" t="s">
        <v>15</v>
      </c>
      <c r="J17" s="9" t="s">
        <v>107</v>
      </c>
      <c r="K17" s="7">
        <v>2026</v>
      </c>
      <c r="M17">
        <v>177.5</v>
      </c>
      <c r="Q17" s="3" t="str">
        <f t="shared" si="0"/>
        <v/>
      </c>
      <c r="S17" s="9" t="s">
        <v>92</v>
      </c>
    </row>
    <row r="18" spans="2:19" ht="409.5" hidden="1" x14ac:dyDescent="0.25">
      <c r="B18" s="3" t="s">
        <v>1</v>
      </c>
      <c r="C18" s="6" t="s">
        <v>29</v>
      </c>
      <c r="D18" t="s">
        <v>6</v>
      </c>
      <c r="E18" t="s">
        <v>31</v>
      </c>
      <c r="F18" t="s">
        <v>32</v>
      </c>
      <c r="G18" s="7" t="s">
        <v>17</v>
      </c>
      <c r="H18" s="9" t="s">
        <v>30</v>
      </c>
      <c r="I18" s="7" t="s">
        <v>15</v>
      </c>
      <c r="J18" s="9" t="s">
        <v>107</v>
      </c>
      <c r="K18" s="7">
        <v>2027</v>
      </c>
      <c r="M18">
        <v>176.25</v>
      </c>
      <c r="Q18" s="3" t="str">
        <f t="shared" si="0"/>
        <v/>
      </c>
      <c r="S18" s="9" t="s">
        <v>92</v>
      </c>
    </row>
    <row r="19" spans="2:19" ht="409.5" hidden="1" x14ac:dyDescent="0.25">
      <c r="B19" s="3" t="s">
        <v>1</v>
      </c>
      <c r="C19" s="6" t="s">
        <v>29</v>
      </c>
      <c r="D19" t="s">
        <v>6</v>
      </c>
      <c r="E19" t="s">
        <v>31</v>
      </c>
      <c r="F19" t="s">
        <v>32</v>
      </c>
      <c r="G19" s="7" t="s">
        <v>17</v>
      </c>
      <c r="H19" s="9" t="s">
        <v>30</v>
      </c>
      <c r="I19" s="7" t="s">
        <v>15</v>
      </c>
      <c r="J19" s="9" t="s">
        <v>107</v>
      </c>
      <c r="K19" s="7">
        <v>2028</v>
      </c>
      <c r="M19">
        <v>175</v>
      </c>
      <c r="Q19" s="3" t="str">
        <f t="shared" si="0"/>
        <v/>
      </c>
      <c r="S19" s="9" t="s">
        <v>92</v>
      </c>
    </row>
    <row r="20" spans="2:19" ht="409.5" hidden="1" x14ac:dyDescent="0.25">
      <c r="B20" s="3" t="s">
        <v>1</v>
      </c>
      <c r="C20" s="6" t="s">
        <v>29</v>
      </c>
      <c r="D20" t="s">
        <v>6</v>
      </c>
      <c r="E20" t="s">
        <v>31</v>
      </c>
      <c r="F20" t="s">
        <v>32</v>
      </c>
      <c r="G20" s="7" t="s">
        <v>17</v>
      </c>
      <c r="H20" s="9" t="s">
        <v>30</v>
      </c>
      <c r="I20" s="7" t="s">
        <v>15</v>
      </c>
      <c r="J20" s="9" t="s">
        <v>107</v>
      </c>
      <c r="K20" s="7">
        <v>2029</v>
      </c>
      <c r="M20">
        <v>173.75</v>
      </c>
      <c r="Q20" s="3" t="str">
        <f t="shared" si="0"/>
        <v/>
      </c>
      <c r="S20" s="9" t="s">
        <v>92</v>
      </c>
    </row>
    <row r="21" spans="2:19" ht="409.5" hidden="1" x14ac:dyDescent="0.25">
      <c r="B21" s="3" t="s">
        <v>1</v>
      </c>
      <c r="C21" s="6" t="s">
        <v>33</v>
      </c>
      <c r="D21" t="s">
        <v>6</v>
      </c>
      <c r="E21" t="s">
        <v>34</v>
      </c>
      <c r="F21" t="s">
        <v>35</v>
      </c>
      <c r="G21" s="7" t="s">
        <v>36</v>
      </c>
      <c r="H21" s="9" t="s">
        <v>37</v>
      </c>
      <c r="I21" s="7" t="s">
        <v>15</v>
      </c>
      <c r="J21" t="s">
        <v>124</v>
      </c>
      <c r="K21" s="7">
        <v>2024</v>
      </c>
      <c r="L21">
        <v>11.3</v>
      </c>
      <c r="O21" s="14">
        <v>1111374</v>
      </c>
      <c r="P21" s="14">
        <v>9834301</v>
      </c>
      <c r="Q21" s="3" t="str">
        <f t="shared" si="0"/>
        <v/>
      </c>
      <c r="S21" s="9" t="s">
        <v>126</v>
      </c>
    </row>
    <row r="22" spans="2:19" ht="409.5" hidden="1" x14ac:dyDescent="0.25">
      <c r="B22" s="3" t="s">
        <v>1</v>
      </c>
      <c r="C22" s="6" t="s">
        <v>33</v>
      </c>
      <c r="D22" t="s">
        <v>6</v>
      </c>
      <c r="E22" t="s">
        <v>34</v>
      </c>
      <c r="F22" t="s">
        <v>35</v>
      </c>
      <c r="G22" s="7" t="s">
        <v>36</v>
      </c>
      <c r="H22" s="9" t="s">
        <v>37</v>
      </c>
      <c r="I22" s="7" t="s">
        <v>15</v>
      </c>
      <c r="J22" t="s">
        <v>124</v>
      </c>
      <c r="K22" s="7">
        <v>2025</v>
      </c>
      <c r="M22">
        <v>10.050000000000001</v>
      </c>
      <c r="N22">
        <v>13.45</v>
      </c>
      <c r="Q22" s="3" t="str">
        <f t="shared" si="0"/>
        <v>Cumplimiento sobre la meta</v>
      </c>
      <c r="S22" s="9" t="s">
        <v>126</v>
      </c>
    </row>
    <row r="23" spans="2:19" ht="409.5" hidden="1" x14ac:dyDescent="0.25">
      <c r="B23" s="3" t="s">
        <v>1</v>
      </c>
      <c r="C23" s="6" t="s">
        <v>33</v>
      </c>
      <c r="D23" t="s">
        <v>6</v>
      </c>
      <c r="E23" t="s">
        <v>34</v>
      </c>
      <c r="F23" t="s">
        <v>35</v>
      </c>
      <c r="G23" s="7" t="s">
        <v>36</v>
      </c>
      <c r="H23" s="9" t="s">
        <v>37</v>
      </c>
      <c r="I23" s="7" t="s">
        <v>15</v>
      </c>
      <c r="J23" t="s">
        <v>124</v>
      </c>
      <c r="K23" s="7">
        <v>2026</v>
      </c>
      <c r="M23">
        <v>8.8000000000000007</v>
      </c>
      <c r="Q23" s="3" t="str">
        <f t="shared" si="0"/>
        <v/>
      </c>
      <c r="S23" s="9" t="s">
        <v>126</v>
      </c>
    </row>
    <row r="24" spans="2:19" ht="409.5" hidden="1" x14ac:dyDescent="0.25">
      <c r="B24" s="3" t="s">
        <v>1</v>
      </c>
      <c r="C24" s="6" t="s">
        <v>33</v>
      </c>
      <c r="D24" t="s">
        <v>6</v>
      </c>
      <c r="E24" t="s">
        <v>34</v>
      </c>
      <c r="F24" t="s">
        <v>35</v>
      </c>
      <c r="G24" s="7" t="s">
        <v>36</v>
      </c>
      <c r="H24" s="9" t="s">
        <v>37</v>
      </c>
      <c r="I24" s="7" t="s">
        <v>15</v>
      </c>
      <c r="J24" t="s">
        <v>124</v>
      </c>
      <c r="K24" s="7">
        <v>2027</v>
      </c>
      <c r="M24">
        <v>7.55</v>
      </c>
      <c r="Q24" s="3" t="str">
        <f t="shared" si="0"/>
        <v/>
      </c>
      <c r="S24" s="9" t="s">
        <v>126</v>
      </c>
    </row>
    <row r="25" spans="2:19" ht="409.5" hidden="1" x14ac:dyDescent="0.25">
      <c r="B25" s="3" t="s">
        <v>1</v>
      </c>
      <c r="C25" s="6" t="s">
        <v>33</v>
      </c>
      <c r="D25" t="s">
        <v>6</v>
      </c>
      <c r="E25" t="s">
        <v>34</v>
      </c>
      <c r="F25" t="s">
        <v>35</v>
      </c>
      <c r="G25" s="7" t="s">
        <v>36</v>
      </c>
      <c r="H25" s="9" t="s">
        <v>37</v>
      </c>
      <c r="I25" s="7" t="s">
        <v>15</v>
      </c>
      <c r="J25" t="s">
        <v>124</v>
      </c>
      <c r="K25" s="7">
        <v>2028</v>
      </c>
      <c r="M25">
        <v>6.3</v>
      </c>
      <c r="Q25" s="3" t="str">
        <f t="shared" si="0"/>
        <v/>
      </c>
      <c r="S25" s="9" t="s">
        <v>126</v>
      </c>
    </row>
    <row r="26" spans="2:19" ht="409.5" hidden="1" x14ac:dyDescent="0.25">
      <c r="B26" s="3" t="s">
        <v>1</v>
      </c>
      <c r="C26" s="6" t="s">
        <v>33</v>
      </c>
      <c r="D26" t="s">
        <v>6</v>
      </c>
      <c r="E26" t="s">
        <v>34</v>
      </c>
      <c r="F26" t="s">
        <v>35</v>
      </c>
      <c r="G26" s="7" t="s">
        <v>36</v>
      </c>
      <c r="H26" s="9" t="s">
        <v>37</v>
      </c>
      <c r="I26" s="7" t="s">
        <v>15</v>
      </c>
      <c r="J26" t="s">
        <v>124</v>
      </c>
      <c r="K26" s="7">
        <v>2029</v>
      </c>
      <c r="M26">
        <v>5.05</v>
      </c>
      <c r="Q26" s="3" t="str">
        <f t="shared" si="0"/>
        <v/>
      </c>
      <c r="S26" s="9" t="s">
        <v>126</v>
      </c>
    </row>
    <row r="27" spans="2:19" ht="409.5" hidden="1" x14ac:dyDescent="0.25">
      <c r="B27" s="3" t="s">
        <v>1</v>
      </c>
      <c r="C27" s="6" t="s">
        <v>38</v>
      </c>
      <c r="D27" t="s">
        <v>6</v>
      </c>
      <c r="E27" t="s">
        <v>40</v>
      </c>
      <c r="F27" t="s">
        <v>41</v>
      </c>
      <c r="G27" s="7" t="s">
        <v>36</v>
      </c>
      <c r="H27" s="9" t="s">
        <v>39</v>
      </c>
      <c r="I27" s="7" t="s">
        <v>15</v>
      </c>
      <c r="J27" t="s">
        <v>125</v>
      </c>
      <c r="K27" s="7">
        <v>2024</v>
      </c>
      <c r="L27">
        <v>84.03</v>
      </c>
      <c r="O27" s="14">
        <v>4153841</v>
      </c>
      <c r="P27" s="14">
        <v>4943404</v>
      </c>
      <c r="Q27" s="3" t="str">
        <f t="shared" si="0"/>
        <v/>
      </c>
      <c r="S27" s="9" t="s">
        <v>127</v>
      </c>
    </row>
    <row r="28" spans="2:19" ht="409.5" hidden="1" x14ac:dyDescent="0.25">
      <c r="B28" s="3" t="s">
        <v>1</v>
      </c>
      <c r="C28" s="6" t="s">
        <v>38</v>
      </c>
      <c r="D28" t="s">
        <v>6</v>
      </c>
      <c r="E28" t="s">
        <v>40</v>
      </c>
      <c r="F28" t="s">
        <v>41</v>
      </c>
      <c r="G28" s="7" t="s">
        <v>36</v>
      </c>
      <c r="H28" s="9" t="s">
        <v>39</v>
      </c>
      <c r="I28" s="7" t="s">
        <v>15</v>
      </c>
      <c r="J28" t="s">
        <v>125</v>
      </c>
      <c r="K28" s="7">
        <v>2025</v>
      </c>
      <c r="M28">
        <v>82.78</v>
      </c>
      <c r="N28">
        <v>88.66</v>
      </c>
      <c r="Q28" s="3" t="str">
        <f t="shared" si="0"/>
        <v>Cumplimiento sobre la meta</v>
      </c>
      <c r="S28" s="9" t="s">
        <v>127</v>
      </c>
    </row>
    <row r="29" spans="2:19" ht="409.5" hidden="1" x14ac:dyDescent="0.25">
      <c r="B29" s="3" t="s">
        <v>1</v>
      </c>
      <c r="C29" s="6" t="s">
        <v>38</v>
      </c>
      <c r="D29" t="s">
        <v>6</v>
      </c>
      <c r="E29" t="s">
        <v>40</v>
      </c>
      <c r="F29" t="s">
        <v>41</v>
      </c>
      <c r="G29" s="7" t="s">
        <v>36</v>
      </c>
      <c r="H29" s="9" t="s">
        <v>39</v>
      </c>
      <c r="I29" s="7" t="s">
        <v>15</v>
      </c>
      <c r="J29" t="s">
        <v>125</v>
      </c>
      <c r="K29" s="7">
        <v>2026</v>
      </c>
      <c r="M29">
        <v>81.53</v>
      </c>
      <c r="Q29" s="3" t="str">
        <f t="shared" si="0"/>
        <v/>
      </c>
      <c r="S29" s="9" t="s">
        <v>127</v>
      </c>
    </row>
    <row r="30" spans="2:19" ht="409.5" hidden="1" x14ac:dyDescent="0.25">
      <c r="B30" s="3" t="s">
        <v>1</v>
      </c>
      <c r="C30" s="6" t="s">
        <v>38</v>
      </c>
      <c r="D30" t="s">
        <v>6</v>
      </c>
      <c r="E30" t="s">
        <v>40</v>
      </c>
      <c r="F30" t="s">
        <v>41</v>
      </c>
      <c r="G30" s="7" t="s">
        <v>36</v>
      </c>
      <c r="H30" s="9" t="s">
        <v>39</v>
      </c>
      <c r="I30" s="7" t="s">
        <v>15</v>
      </c>
      <c r="J30" t="s">
        <v>125</v>
      </c>
      <c r="K30" s="7">
        <v>2027</v>
      </c>
      <c r="M30">
        <v>80.28</v>
      </c>
      <c r="Q30" s="3" t="str">
        <f t="shared" si="0"/>
        <v/>
      </c>
      <c r="S30" s="9" t="s">
        <v>127</v>
      </c>
    </row>
    <row r="31" spans="2:19" ht="409.5" hidden="1" x14ac:dyDescent="0.25">
      <c r="B31" s="3" t="s">
        <v>1</v>
      </c>
      <c r="C31" s="6" t="s">
        <v>38</v>
      </c>
      <c r="D31" t="s">
        <v>6</v>
      </c>
      <c r="E31" t="s">
        <v>40</v>
      </c>
      <c r="F31" t="s">
        <v>41</v>
      </c>
      <c r="G31" s="7" t="s">
        <v>36</v>
      </c>
      <c r="H31" s="9" t="s">
        <v>39</v>
      </c>
      <c r="I31" s="7" t="s">
        <v>15</v>
      </c>
      <c r="J31" t="s">
        <v>125</v>
      </c>
      <c r="K31" s="7">
        <v>2028</v>
      </c>
      <c r="M31">
        <v>79.03</v>
      </c>
      <c r="Q31" s="3" t="str">
        <f t="shared" si="0"/>
        <v/>
      </c>
      <c r="S31" s="9" t="s">
        <v>127</v>
      </c>
    </row>
    <row r="32" spans="2:19" ht="409.5" hidden="1" x14ac:dyDescent="0.25">
      <c r="B32" s="3" t="s">
        <v>1</v>
      </c>
      <c r="C32" s="6" t="s">
        <v>38</v>
      </c>
      <c r="D32" t="s">
        <v>6</v>
      </c>
      <c r="E32" t="s">
        <v>40</v>
      </c>
      <c r="F32" t="s">
        <v>41</v>
      </c>
      <c r="G32" s="7" t="s">
        <v>36</v>
      </c>
      <c r="H32" s="9" t="s">
        <v>39</v>
      </c>
      <c r="I32" s="7" t="s">
        <v>15</v>
      </c>
      <c r="J32" t="s">
        <v>125</v>
      </c>
      <c r="K32" s="7">
        <v>2029</v>
      </c>
      <c r="M32">
        <v>77.78</v>
      </c>
      <c r="Q32" s="3" t="str">
        <f t="shared" si="0"/>
        <v/>
      </c>
      <c r="S32" s="9" t="s">
        <v>127</v>
      </c>
    </row>
    <row r="33" spans="2:19" ht="390" hidden="1" x14ac:dyDescent="0.25">
      <c r="B33" s="3" t="s">
        <v>1</v>
      </c>
      <c r="C33" s="6" t="s">
        <v>42</v>
      </c>
      <c r="D33" t="s">
        <v>56</v>
      </c>
      <c r="E33" t="s">
        <v>44</v>
      </c>
      <c r="F33" s="13" t="s">
        <v>120</v>
      </c>
      <c r="G33" s="7" t="s">
        <v>36</v>
      </c>
      <c r="H33" s="9" t="s">
        <v>43</v>
      </c>
      <c r="I33" s="7" t="s">
        <v>15</v>
      </c>
      <c r="J33" t="s">
        <v>121</v>
      </c>
      <c r="K33" s="7">
        <v>2024</v>
      </c>
      <c r="L33">
        <v>76.67</v>
      </c>
      <c r="O33" s="14">
        <v>2494673</v>
      </c>
      <c r="P33" s="14">
        <v>3253758</v>
      </c>
      <c r="Q33" s="3" t="str">
        <f t="shared" si="0"/>
        <v/>
      </c>
      <c r="S33" s="9" t="s">
        <v>119</v>
      </c>
    </row>
    <row r="34" spans="2:19" ht="390" hidden="1" x14ac:dyDescent="0.25">
      <c r="B34" s="3" t="s">
        <v>1</v>
      </c>
      <c r="C34" s="6" t="s">
        <v>42</v>
      </c>
      <c r="D34" t="s">
        <v>56</v>
      </c>
      <c r="E34" t="s">
        <v>44</v>
      </c>
      <c r="F34" s="13" t="s">
        <v>120</v>
      </c>
      <c r="G34" s="7" t="s">
        <v>36</v>
      </c>
      <c r="H34" s="9" t="s">
        <v>43</v>
      </c>
      <c r="I34" s="7" t="s">
        <v>15</v>
      </c>
      <c r="J34" t="s">
        <v>121</v>
      </c>
      <c r="K34" s="7">
        <v>2025</v>
      </c>
      <c r="M34">
        <v>76.849999999999994</v>
      </c>
      <c r="N34">
        <v>77.87</v>
      </c>
      <c r="Q34" s="3" t="str">
        <f t="shared" si="0"/>
        <v>Cumplimiento sobre la meta</v>
      </c>
      <c r="S34" s="9" t="s">
        <v>119</v>
      </c>
    </row>
    <row r="35" spans="2:19" ht="390" hidden="1" x14ac:dyDescent="0.25">
      <c r="B35" s="3" t="s">
        <v>1</v>
      </c>
      <c r="C35" s="6" t="s">
        <v>42</v>
      </c>
      <c r="D35" t="s">
        <v>56</v>
      </c>
      <c r="E35" t="s">
        <v>44</v>
      </c>
      <c r="F35" s="13" t="s">
        <v>120</v>
      </c>
      <c r="G35" s="7" t="s">
        <v>36</v>
      </c>
      <c r="H35" s="9" t="s">
        <v>43</v>
      </c>
      <c r="I35" s="7" t="s">
        <v>15</v>
      </c>
      <c r="J35" t="s">
        <v>121</v>
      </c>
      <c r="K35" s="7">
        <v>2026</v>
      </c>
      <c r="M35">
        <v>77.150000000000006</v>
      </c>
      <c r="Q35" s="3" t="str">
        <f t="shared" si="0"/>
        <v/>
      </c>
      <c r="S35" s="9" t="s">
        <v>119</v>
      </c>
    </row>
    <row r="36" spans="2:19" ht="390" hidden="1" x14ac:dyDescent="0.25">
      <c r="B36" s="3" t="s">
        <v>1</v>
      </c>
      <c r="C36" s="6" t="s">
        <v>42</v>
      </c>
      <c r="D36" t="s">
        <v>56</v>
      </c>
      <c r="E36" t="s">
        <v>44</v>
      </c>
      <c r="F36" s="13" t="s">
        <v>120</v>
      </c>
      <c r="G36" s="7" t="s">
        <v>36</v>
      </c>
      <c r="H36" s="9" t="s">
        <v>43</v>
      </c>
      <c r="I36" s="7" t="s">
        <v>15</v>
      </c>
      <c r="J36" t="s">
        <v>121</v>
      </c>
      <c r="K36" s="7">
        <v>2027</v>
      </c>
      <c r="M36">
        <v>78.2</v>
      </c>
      <c r="Q36" s="3" t="str">
        <f t="shared" si="0"/>
        <v/>
      </c>
      <c r="S36" s="9" t="s">
        <v>119</v>
      </c>
    </row>
    <row r="37" spans="2:19" ht="390" hidden="1" x14ac:dyDescent="0.25">
      <c r="B37" s="3" t="s">
        <v>1</v>
      </c>
      <c r="C37" s="6" t="s">
        <v>42</v>
      </c>
      <c r="D37" t="s">
        <v>56</v>
      </c>
      <c r="E37" t="s">
        <v>44</v>
      </c>
      <c r="F37" s="13" t="s">
        <v>120</v>
      </c>
      <c r="G37" s="7" t="s">
        <v>36</v>
      </c>
      <c r="H37" s="9" t="s">
        <v>43</v>
      </c>
      <c r="I37" s="7" t="s">
        <v>15</v>
      </c>
      <c r="J37" t="s">
        <v>121</v>
      </c>
      <c r="K37" s="7">
        <v>2028</v>
      </c>
      <c r="M37">
        <v>78.89</v>
      </c>
      <c r="Q37" s="3" t="str">
        <f t="shared" si="0"/>
        <v/>
      </c>
      <c r="S37" s="9" t="s">
        <v>119</v>
      </c>
    </row>
    <row r="38" spans="2:19" ht="390" hidden="1" x14ac:dyDescent="0.25">
      <c r="B38" s="3" t="s">
        <v>1</v>
      </c>
      <c r="C38" s="6" t="s">
        <v>42</v>
      </c>
      <c r="D38" t="s">
        <v>56</v>
      </c>
      <c r="E38" t="s">
        <v>44</v>
      </c>
      <c r="F38" s="13" t="s">
        <v>120</v>
      </c>
      <c r="G38" s="7" t="s">
        <v>36</v>
      </c>
      <c r="H38" s="9" t="s">
        <v>43</v>
      </c>
      <c r="I38" s="7" t="s">
        <v>15</v>
      </c>
      <c r="J38" t="s">
        <v>121</v>
      </c>
      <c r="K38" s="7">
        <v>2029</v>
      </c>
      <c r="M38">
        <v>79.05</v>
      </c>
      <c r="Q38" s="3" t="str">
        <f t="shared" si="0"/>
        <v/>
      </c>
      <c r="S38" s="9" t="s">
        <v>119</v>
      </c>
    </row>
    <row r="39" spans="2:19" ht="409.5" hidden="1" x14ac:dyDescent="0.25">
      <c r="B39" s="3" t="s">
        <v>1</v>
      </c>
      <c r="C39" s="10" t="s">
        <v>45</v>
      </c>
      <c r="D39" t="s">
        <v>55</v>
      </c>
      <c r="E39" t="s">
        <v>46</v>
      </c>
      <c r="F39" s="9" t="s">
        <v>63</v>
      </c>
      <c r="G39" s="7" t="s">
        <v>36</v>
      </c>
      <c r="H39" s="9" t="s">
        <v>136</v>
      </c>
      <c r="I39" s="7" t="s">
        <v>15</v>
      </c>
      <c r="J39" t="s">
        <v>106</v>
      </c>
      <c r="K39" s="7" t="s">
        <v>98</v>
      </c>
      <c r="L39">
        <v>41.66</v>
      </c>
      <c r="O39">
        <v>113.66200000000001</v>
      </c>
      <c r="P39">
        <v>272.83600000000001</v>
      </c>
      <c r="Q39" s="3" t="str">
        <f t="shared" si="0"/>
        <v/>
      </c>
      <c r="S39" s="9" t="s">
        <v>105</v>
      </c>
    </row>
    <row r="40" spans="2:19" ht="409.5" hidden="1" x14ac:dyDescent="0.25">
      <c r="B40" s="3" t="s">
        <v>1</v>
      </c>
      <c r="C40" s="10" t="s">
        <v>45</v>
      </c>
      <c r="D40" t="s">
        <v>55</v>
      </c>
      <c r="E40" t="s">
        <v>46</v>
      </c>
      <c r="F40" s="9" t="s">
        <v>63</v>
      </c>
      <c r="G40" s="7" t="s">
        <v>36</v>
      </c>
      <c r="H40" s="9" t="s">
        <v>136</v>
      </c>
      <c r="I40" s="7" t="s">
        <v>15</v>
      </c>
      <c r="J40" t="s">
        <v>106</v>
      </c>
      <c r="K40" s="7" t="s">
        <v>99</v>
      </c>
      <c r="M40">
        <v>41.76</v>
      </c>
      <c r="N40">
        <v>36.200000000000003</v>
      </c>
      <c r="Q40" s="3" t="str">
        <f t="shared" si="0"/>
        <v>Incumplimiento de meta</v>
      </c>
      <c r="S40" s="9" t="s">
        <v>105</v>
      </c>
    </row>
    <row r="41" spans="2:19" ht="409.5" hidden="1" x14ac:dyDescent="0.25">
      <c r="B41" s="3" t="s">
        <v>1</v>
      </c>
      <c r="C41" s="10" t="s">
        <v>45</v>
      </c>
      <c r="D41" t="s">
        <v>55</v>
      </c>
      <c r="E41" t="s">
        <v>46</v>
      </c>
      <c r="F41" s="9" t="s">
        <v>63</v>
      </c>
      <c r="G41" s="7" t="s">
        <v>36</v>
      </c>
      <c r="H41" s="9" t="s">
        <v>136</v>
      </c>
      <c r="I41" s="7" t="s">
        <v>15</v>
      </c>
      <c r="J41" t="s">
        <v>106</v>
      </c>
      <c r="K41" s="7" t="s">
        <v>100</v>
      </c>
      <c r="M41">
        <v>41.86</v>
      </c>
      <c r="Q41" s="3" t="str">
        <f t="shared" si="0"/>
        <v/>
      </c>
      <c r="S41" s="9" t="s">
        <v>105</v>
      </c>
    </row>
    <row r="42" spans="2:19" ht="409.5" hidden="1" x14ac:dyDescent="0.25">
      <c r="B42" s="3" t="s">
        <v>1</v>
      </c>
      <c r="C42" s="10" t="s">
        <v>45</v>
      </c>
      <c r="D42" t="s">
        <v>55</v>
      </c>
      <c r="E42" t="s">
        <v>46</v>
      </c>
      <c r="F42" s="9" t="s">
        <v>63</v>
      </c>
      <c r="G42" s="7" t="s">
        <v>36</v>
      </c>
      <c r="H42" s="9" t="s">
        <v>136</v>
      </c>
      <c r="I42" s="7" t="s">
        <v>15</v>
      </c>
      <c r="J42" t="s">
        <v>106</v>
      </c>
      <c r="K42" s="7" t="s">
        <v>101</v>
      </c>
      <c r="M42">
        <v>41.96</v>
      </c>
      <c r="Q42" s="3" t="str">
        <f t="shared" si="0"/>
        <v/>
      </c>
      <c r="S42" s="9" t="s">
        <v>105</v>
      </c>
    </row>
    <row r="43" spans="2:19" ht="409.5" hidden="1" x14ac:dyDescent="0.25">
      <c r="B43" s="3" t="s">
        <v>1</v>
      </c>
      <c r="C43" s="10" t="s">
        <v>45</v>
      </c>
      <c r="D43" t="s">
        <v>55</v>
      </c>
      <c r="E43" t="s">
        <v>46</v>
      </c>
      <c r="F43" s="9" t="s">
        <v>63</v>
      </c>
      <c r="G43" s="7" t="s">
        <v>36</v>
      </c>
      <c r="H43" s="9" t="s">
        <v>136</v>
      </c>
      <c r="I43" s="7" t="s">
        <v>15</v>
      </c>
      <c r="J43" t="s">
        <v>106</v>
      </c>
      <c r="K43" s="7" t="s">
        <v>102</v>
      </c>
      <c r="M43">
        <v>42.26</v>
      </c>
      <c r="Q43" s="3" t="str">
        <f t="shared" si="0"/>
        <v/>
      </c>
      <c r="S43" s="9" t="s">
        <v>105</v>
      </c>
    </row>
    <row r="44" spans="2:19" ht="409.5" hidden="1" x14ac:dyDescent="0.25">
      <c r="B44" s="3" t="s">
        <v>1</v>
      </c>
      <c r="C44" s="10" t="s">
        <v>45</v>
      </c>
      <c r="D44" t="s">
        <v>55</v>
      </c>
      <c r="E44" t="s">
        <v>46</v>
      </c>
      <c r="F44" s="9" t="s">
        <v>63</v>
      </c>
      <c r="G44" s="7" t="s">
        <v>36</v>
      </c>
      <c r="H44" s="9" t="s">
        <v>136</v>
      </c>
      <c r="I44" s="7" t="s">
        <v>15</v>
      </c>
      <c r="J44" t="s">
        <v>106</v>
      </c>
      <c r="K44" s="7" t="s">
        <v>103</v>
      </c>
      <c r="M44">
        <v>42.56</v>
      </c>
      <c r="Q44" s="3"/>
      <c r="S44" s="9" t="s">
        <v>105</v>
      </c>
    </row>
    <row r="45" spans="2:19" ht="409.5" hidden="1" x14ac:dyDescent="0.25">
      <c r="B45" s="3" t="s">
        <v>1</v>
      </c>
      <c r="C45" s="10" t="s">
        <v>45</v>
      </c>
      <c r="D45" t="s">
        <v>55</v>
      </c>
      <c r="E45" t="s">
        <v>46</v>
      </c>
      <c r="F45" s="9" t="s">
        <v>63</v>
      </c>
      <c r="G45" s="7" t="s">
        <v>36</v>
      </c>
      <c r="H45" s="9" t="s">
        <v>136</v>
      </c>
      <c r="I45" s="7" t="s">
        <v>15</v>
      </c>
      <c r="J45" t="s">
        <v>106</v>
      </c>
      <c r="K45" s="7" t="s">
        <v>104</v>
      </c>
      <c r="M45">
        <v>42.86</v>
      </c>
      <c r="Q45" s="3" t="str">
        <f t="shared" si="0"/>
        <v/>
      </c>
      <c r="S45" s="9" t="s">
        <v>105</v>
      </c>
    </row>
    <row r="46" spans="2:19" ht="409.5" hidden="1" x14ac:dyDescent="0.25">
      <c r="B46" s="3" t="s">
        <v>1</v>
      </c>
      <c r="C46" s="10" t="s">
        <v>47</v>
      </c>
      <c r="D46" t="s">
        <v>55</v>
      </c>
      <c r="E46" t="s">
        <v>46</v>
      </c>
      <c r="F46" s="9" t="s">
        <v>114</v>
      </c>
      <c r="G46" s="7" t="s">
        <v>36</v>
      </c>
      <c r="H46" s="9" t="s">
        <v>136</v>
      </c>
      <c r="I46" s="7" t="s">
        <v>15</v>
      </c>
      <c r="J46" t="s">
        <v>106</v>
      </c>
      <c r="K46" s="7" t="s">
        <v>98</v>
      </c>
      <c r="L46">
        <v>33.82</v>
      </c>
      <c r="O46">
        <v>92.272000000000006</v>
      </c>
      <c r="P46">
        <v>272.83600000000001</v>
      </c>
      <c r="Q46" s="3" t="str">
        <f t="shared" si="0"/>
        <v/>
      </c>
      <c r="S46" s="9" t="s">
        <v>112</v>
      </c>
    </row>
    <row r="47" spans="2:19" ht="409.5" hidden="1" x14ac:dyDescent="0.25">
      <c r="B47" s="3" t="s">
        <v>1</v>
      </c>
      <c r="C47" s="10" t="s">
        <v>47</v>
      </c>
      <c r="D47" t="s">
        <v>55</v>
      </c>
      <c r="E47" t="s">
        <v>46</v>
      </c>
      <c r="F47" s="9" t="s">
        <v>114</v>
      </c>
      <c r="G47" s="7" t="s">
        <v>36</v>
      </c>
      <c r="H47" s="9" t="s">
        <v>136</v>
      </c>
      <c r="I47" s="7" t="s">
        <v>15</v>
      </c>
      <c r="J47" t="s">
        <v>106</v>
      </c>
      <c r="K47" s="7" t="s">
        <v>99</v>
      </c>
      <c r="M47">
        <v>33.92</v>
      </c>
      <c r="N47">
        <v>26</v>
      </c>
      <c r="Q47" s="3" t="str">
        <f t="shared" si="0"/>
        <v>Incumplimiento de meta</v>
      </c>
      <c r="S47" s="9" t="s">
        <v>112</v>
      </c>
    </row>
    <row r="48" spans="2:19" ht="409.5" hidden="1" x14ac:dyDescent="0.25">
      <c r="B48" s="3" t="s">
        <v>1</v>
      </c>
      <c r="C48" s="10" t="s">
        <v>47</v>
      </c>
      <c r="D48" t="s">
        <v>55</v>
      </c>
      <c r="E48" t="s">
        <v>46</v>
      </c>
      <c r="F48" s="9" t="s">
        <v>114</v>
      </c>
      <c r="G48" s="7" t="s">
        <v>36</v>
      </c>
      <c r="H48" s="9" t="s">
        <v>136</v>
      </c>
      <c r="I48" s="7" t="s">
        <v>15</v>
      </c>
      <c r="J48" t="s">
        <v>106</v>
      </c>
      <c r="K48" s="7" t="s">
        <v>100</v>
      </c>
      <c r="M48">
        <v>34.020000000000003</v>
      </c>
      <c r="Q48" s="3" t="str">
        <f t="shared" si="0"/>
        <v/>
      </c>
      <c r="S48" s="9" t="s">
        <v>112</v>
      </c>
    </row>
    <row r="49" spans="2:19" ht="409.5" hidden="1" x14ac:dyDescent="0.25">
      <c r="B49" s="3" t="s">
        <v>1</v>
      </c>
      <c r="C49" s="10" t="s">
        <v>47</v>
      </c>
      <c r="D49" t="s">
        <v>55</v>
      </c>
      <c r="E49" t="s">
        <v>46</v>
      </c>
      <c r="F49" s="9" t="s">
        <v>114</v>
      </c>
      <c r="G49" s="7" t="s">
        <v>36</v>
      </c>
      <c r="H49" s="9" t="s">
        <v>136</v>
      </c>
      <c r="I49" s="7" t="s">
        <v>15</v>
      </c>
      <c r="J49" t="s">
        <v>106</v>
      </c>
      <c r="K49" s="7" t="s">
        <v>101</v>
      </c>
      <c r="M49">
        <v>34.119999999999997</v>
      </c>
      <c r="Q49" s="3" t="str">
        <f t="shared" si="0"/>
        <v/>
      </c>
      <c r="S49" s="9" t="s">
        <v>112</v>
      </c>
    </row>
    <row r="50" spans="2:19" ht="409.5" hidden="1" x14ac:dyDescent="0.25">
      <c r="B50" s="3" t="s">
        <v>1</v>
      </c>
      <c r="C50" s="10" t="s">
        <v>47</v>
      </c>
      <c r="D50" t="s">
        <v>55</v>
      </c>
      <c r="E50" t="s">
        <v>46</v>
      </c>
      <c r="F50" s="9" t="s">
        <v>114</v>
      </c>
      <c r="G50" s="7" t="s">
        <v>36</v>
      </c>
      <c r="H50" s="9" t="s">
        <v>136</v>
      </c>
      <c r="I50" s="7" t="s">
        <v>15</v>
      </c>
      <c r="J50" t="s">
        <v>106</v>
      </c>
      <c r="K50" s="7" t="s">
        <v>102</v>
      </c>
      <c r="M50">
        <v>34.42</v>
      </c>
      <c r="Q50" s="3" t="str">
        <f t="shared" si="0"/>
        <v/>
      </c>
      <c r="S50" s="9" t="s">
        <v>112</v>
      </c>
    </row>
    <row r="51" spans="2:19" ht="409.5" hidden="1" x14ac:dyDescent="0.25">
      <c r="B51" s="3" t="s">
        <v>1</v>
      </c>
      <c r="C51" s="10" t="s">
        <v>47</v>
      </c>
      <c r="D51" t="s">
        <v>55</v>
      </c>
      <c r="E51" t="s">
        <v>46</v>
      </c>
      <c r="F51" s="9" t="s">
        <v>114</v>
      </c>
      <c r="G51" s="7" t="s">
        <v>36</v>
      </c>
      <c r="H51" s="9" t="s">
        <v>136</v>
      </c>
      <c r="I51" s="7" t="s">
        <v>15</v>
      </c>
      <c r="J51" t="s">
        <v>106</v>
      </c>
      <c r="K51" s="7" t="s">
        <v>103</v>
      </c>
      <c r="M51">
        <v>34.72</v>
      </c>
      <c r="Q51" s="3" t="str">
        <f t="shared" si="0"/>
        <v/>
      </c>
      <c r="S51" s="9" t="s">
        <v>112</v>
      </c>
    </row>
    <row r="52" spans="2:19" ht="409.5" hidden="1" x14ac:dyDescent="0.25">
      <c r="B52" s="3" t="s">
        <v>1</v>
      </c>
      <c r="C52" s="10" t="s">
        <v>47</v>
      </c>
      <c r="D52" t="s">
        <v>55</v>
      </c>
      <c r="E52" t="s">
        <v>46</v>
      </c>
      <c r="F52" s="9" t="s">
        <v>114</v>
      </c>
      <c r="G52" s="7" t="s">
        <v>36</v>
      </c>
      <c r="H52" s="9" t="s">
        <v>136</v>
      </c>
      <c r="I52" s="7" t="s">
        <v>15</v>
      </c>
      <c r="J52" t="s">
        <v>106</v>
      </c>
      <c r="K52" s="7" t="s">
        <v>104</v>
      </c>
      <c r="M52">
        <v>35.020000000000003</v>
      </c>
      <c r="Q52" s="3" t="str">
        <f t="shared" si="0"/>
        <v/>
      </c>
      <c r="S52" s="9" t="s">
        <v>112</v>
      </c>
    </row>
    <row r="53" spans="2:19" ht="409.5" hidden="1" x14ac:dyDescent="0.25">
      <c r="B53" s="3" t="s">
        <v>1</v>
      </c>
      <c r="C53" s="10" t="s">
        <v>48</v>
      </c>
      <c r="D53" s="9" t="s">
        <v>50</v>
      </c>
      <c r="E53" t="s">
        <v>49</v>
      </c>
      <c r="F53" s="9" t="s">
        <v>117</v>
      </c>
      <c r="G53" s="7" t="s">
        <v>36</v>
      </c>
      <c r="H53" s="9" t="s">
        <v>51</v>
      </c>
      <c r="I53" s="7" t="s">
        <v>15</v>
      </c>
      <c r="J53" t="s">
        <v>106</v>
      </c>
      <c r="K53" s="7" t="s">
        <v>99</v>
      </c>
      <c r="L53">
        <v>12.58</v>
      </c>
      <c r="O53">
        <v>213</v>
      </c>
      <c r="P53">
        <v>1.6930000000000001</v>
      </c>
      <c r="Q53" s="3" t="str">
        <f t="shared" si="0"/>
        <v/>
      </c>
      <c r="S53" s="9" t="s">
        <v>118</v>
      </c>
    </row>
    <row r="54" spans="2:19" ht="409.5" hidden="1" x14ac:dyDescent="0.25">
      <c r="B54" s="3" t="s">
        <v>1</v>
      </c>
      <c r="C54" s="10" t="s">
        <v>48</v>
      </c>
      <c r="D54" s="9" t="s">
        <v>50</v>
      </c>
      <c r="E54" t="s">
        <v>49</v>
      </c>
      <c r="F54" s="9" t="s">
        <v>117</v>
      </c>
      <c r="G54" s="7" t="s">
        <v>36</v>
      </c>
      <c r="H54" s="9" t="s">
        <v>51</v>
      </c>
      <c r="I54" s="7" t="s">
        <v>15</v>
      </c>
      <c r="J54" t="s">
        <v>106</v>
      </c>
      <c r="K54" s="7" t="s">
        <v>100</v>
      </c>
      <c r="M54">
        <v>16.07</v>
      </c>
      <c r="N54">
        <v>15.83</v>
      </c>
      <c r="Q54" s="3" t="str">
        <f t="shared" si="0"/>
        <v>Incumplimiento de meta</v>
      </c>
      <c r="S54" s="9" t="s">
        <v>118</v>
      </c>
    </row>
    <row r="55" spans="2:19" ht="409.5" hidden="1" x14ac:dyDescent="0.25">
      <c r="B55" s="3" t="s">
        <v>1</v>
      </c>
      <c r="C55" s="10" t="s">
        <v>48</v>
      </c>
      <c r="D55" s="9" t="s">
        <v>50</v>
      </c>
      <c r="E55" t="s">
        <v>49</v>
      </c>
      <c r="F55" s="9" t="s">
        <v>117</v>
      </c>
      <c r="G55" s="7" t="s">
        <v>36</v>
      </c>
      <c r="H55" s="9" t="s">
        <v>51</v>
      </c>
      <c r="I55" s="7" t="s">
        <v>15</v>
      </c>
      <c r="J55" t="s">
        <v>106</v>
      </c>
      <c r="K55" s="7" t="s">
        <v>101</v>
      </c>
      <c r="M55">
        <v>19.61</v>
      </c>
      <c r="Q55" s="3" t="str">
        <f t="shared" si="0"/>
        <v/>
      </c>
      <c r="S55" s="9" t="s">
        <v>118</v>
      </c>
    </row>
    <row r="56" spans="2:19" ht="409.5" hidden="1" x14ac:dyDescent="0.25">
      <c r="B56" s="3" t="s">
        <v>1</v>
      </c>
      <c r="C56" s="10" t="s">
        <v>48</v>
      </c>
      <c r="D56" s="9" t="s">
        <v>50</v>
      </c>
      <c r="E56" t="s">
        <v>49</v>
      </c>
      <c r="F56" s="9" t="s">
        <v>117</v>
      </c>
      <c r="G56" s="7" t="s">
        <v>36</v>
      </c>
      <c r="H56" s="9" t="s">
        <v>51</v>
      </c>
      <c r="I56" s="7" t="s">
        <v>15</v>
      </c>
      <c r="J56" t="s">
        <v>106</v>
      </c>
      <c r="K56" s="7" t="s">
        <v>102</v>
      </c>
      <c r="M56">
        <v>23.15</v>
      </c>
      <c r="Q56" s="3" t="str">
        <f t="shared" si="0"/>
        <v/>
      </c>
      <c r="S56" s="9" t="s">
        <v>118</v>
      </c>
    </row>
    <row r="57" spans="2:19" ht="409.5" hidden="1" x14ac:dyDescent="0.25">
      <c r="B57" s="3" t="s">
        <v>1</v>
      </c>
      <c r="C57" s="10" t="s">
        <v>48</v>
      </c>
      <c r="D57" s="9" t="s">
        <v>50</v>
      </c>
      <c r="E57" t="s">
        <v>49</v>
      </c>
      <c r="F57" s="9" t="s">
        <v>117</v>
      </c>
      <c r="G57" s="7" t="s">
        <v>36</v>
      </c>
      <c r="H57" s="9" t="s">
        <v>51</v>
      </c>
      <c r="I57" s="7" t="s">
        <v>15</v>
      </c>
      <c r="J57" t="s">
        <v>106</v>
      </c>
      <c r="K57" s="7" t="s">
        <v>103</v>
      </c>
      <c r="M57">
        <v>26.7</v>
      </c>
      <c r="Q57" s="3" t="str">
        <f t="shared" si="0"/>
        <v/>
      </c>
      <c r="S57" s="9" t="s">
        <v>118</v>
      </c>
    </row>
    <row r="58" spans="2:19" ht="409.5" hidden="1" x14ac:dyDescent="0.25">
      <c r="B58" s="3" t="s">
        <v>1</v>
      </c>
      <c r="C58" s="10" t="s">
        <v>48</v>
      </c>
      <c r="D58" s="9" t="s">
        <v>50</v>
      </c>
      <c r="E58" t="s">
        <v>49</v>
      </c>
      <c r="F58" s="9" t="s">
        <v>117</v>
      </c>
      <c r="G58" s="7" t="s">
        <v>36</v>
      </c>
      <c r="H58" s="9" t="s">
        <v>51</v>
      </c>
      <c r="I58" s="7" t="s">
        <v>15</v>
      </c>
      <c r="J58" t="s">
        <v>106</v>
      </c>
      <c r="K58" s="7" t="s">
        <v>104</v>
      </c>
      <c r="M58">
        <v>30.24</v>
      </c>
      <c r="Q58" s="3" t="str">
        <f t="shared" si="0"/>
        <v/>
      </c>
      <c r="S58" s="9" t="s">
        <v>118</v>
      </c>
    </row>
    <row r="59" spans="2:19" ht="409.5" hidden="1" x14ac:dyDescent="0.25">
      <c r="B59" s="3" t="s">
        <v>1</v>
      </c>
      <c r="C59" s="10" t="s">
        <v>52</v>
      </c>
      <c r="D59" s="9" t="s">
        <v>55</v>
      </c>
      <c r="E59" t="s">
        <v>54</v>
      </c>
      <c r="F59" s="9" t="s">
        <v>122</v>
      </c>
      <c r="G59" s="7" t="s">
        <v>36</v>
      </c>
      <c r="H59" s="9" t="s">
        <v>53</v>
      </c>
      <c r="I59" s="7" t="s">
        <v>15</v>
      </c>
      <c r="J59" t="s">
        <v>106</v>
      </c>
      <c r="K59" s="7">
        <v>2024</v>
      </c>
      <c r="L59">
        <v>93.59</v>
      </c>
      <c r="O59">
        <v>3.1230000000000002</v>
      </c>
      <c r="P59">
        <v>3.3370000000000002</v>
      </c>
      <c r="Q59" s="3" t="str">
        <f t="shared" si="0"/>
        <v/>
      </c>
      <c r="S59" s="9" t="s">
        <v>123</v>
      </c>
    </row>
    <row r="60" spans="2:19" ht="409.5" hidden="1" x14ac:dyDescent="0.25">
      <c r="B60" s="3" t="s">
        <v>1</v>
      </c>
      <c r="C60" s="10" t="s">
        <v>52</v>
      </c>
      <c r="D60" s="9" t="s">
        <v>55</v>
      </c>
      <c r="E60" t="s">
        <v>54</v>
      </c>
      <c r="F60" s="9" t="s">
        <v>122</v>
      </c>
      <c r="G60" s="7" t="s">
        <v>36</v>
      </c>
      <c r="H60" s="9" t="s">
        <v>53</v>
      </c>
      <c r="I60" s="7" t="s">
        <v>15</v>
      </c>
      <c r="J60" t="s">
        <v>106</v>
      </c>
      <c r="K60" s="7">
        <v>2025</v>
      </c>
      <c r="M60">
        <v>95</v>
      </c>
      <c r="N60">
        <v>94.65</v>
      </c>
      <c r="Q60" s="3" t="str">
        <f t="shared" si="0"/>
        <v>Incumplimiento de meta</v>
      </c>
      <c r="S60" s="9" t="s">
        <v>123</v>
      </c>
    </row>
    <row r="61" spans="2:19" ht="409.5" hidden="1" x14ac:dyDescent="0.25">
      <c r="B61" s="3" t="s">
        <v>1</v>
      </c>
      <c r="C61" s="10" t="s">
        <v>52</v>
      </c>
      <c r="D61" s="9" t="s">
        <v>55</v>
      </c>
      <c r="E61" t="s">
        <v>54</v>
      </c>
      <c r="F61" s="9" t="s">
        <v>122</v>
      </c>
      <c r="G61" s="7" t="s">
        <v>36</v>
      </c>
      <c r="H61" s="9" t="s">
        <v>53</v>
      </c>
      <c r="I61" s="7" t="s">
        <v>15</v>
      </c>
      <c r="J61" t="s">
        <v>106</v>
      </c>
      <c r="K61" s="7">
        <v>2026</v>
      </c>
      <c r="M61">
        <v>95.57</v>
      </c>
      <c r="Q61" s="3" t="str">
        <f t="shared" si="0"/>
        <v/>
      </c>
      <c r="S61" s="9" t="s">
        <v>123</v>
      </c>
    </row>
    <row r="62" spans="2:19" ht="409.5" hidden="1" x14ac:dyDescent="0.25">
      <c r="B62" s="3" t="s">
        <v>1</v>
      </c>
      <c r="C62" s="10" t="s">
        <v>52</v>
      </c>
      <c r="D62" s="9" t="s">
        <v>55</v>
      </c>
      <c r="E62" t="s">
        <v>54</v>
      </c>
      <c r="F62" s="9" t="s">
        <v>122</v>
      </c>
      <c r="G62" s="7" t="s">
        <v>36</v>
      </c>
      <c r="H62" s="9" t="s">
        <v>53</v>
      </c>
      <c r="I62" s="7" t="s">
        <v>15</v>
      </c>
      <c r="J62" t="s">
        <v>106</v>
      </c>
      <c r="K62" s="7">
        <v>2027</v>
      </c>
      <c r="M62">
        <v>96.14</v>
      </c>
      <c r="Q62" s="3" t="str">
        <f t="shared" si="0"/>
        <v/>
      </c>
      <c r="S62" s="9" t="s">
        <v>123</v>
      </c>
    </row>
    <row r="63" spans="2:19" ht="409.5" hidden="1" x14ac:dyDescent="0.25">
      <c r="B63" s="3" t="s">
        <v>1</v>
      </c>
      <c r="C63" s="10" t="s">
        <v>52</v>
      </c>
      <c r="D63" s="9" t="s">
        <v>55</v>
      </c>
      <c r="E63" t="s">
        <v>54</v>
      </c>
      <c r="F63" s="9" t="s">
        <v>122</v>
      </c>
      <c r="G63" s="7" t="s">
        <v>36</v>
      </c>
      <c r="H63" s="9" t="s">
        <v>53</v>
      </c>
      <c r="I63" s="7" t="s">
        <v>15</v>
      </c>
      <c r="J63" t="s">
        <v>106</v>
      </c>
      <c r="K63" s="7">
        <v>2028</v>
      </c>
      <c r="M63">
        <v>96.72</v>
      </c>
      <c r="Q63" s="3" t="str">
        <f t="shared" si="0"/>
        <v/>
      </c>
      <c r="S63" s="9" t="s">
        <v>123</v>
      </c>
    </row>
    <row r="64" spans="2:19" ht="409.5" hidden="1" x14ac:dyDescent="0.25">
      <c r="B64" s="3" t="s">
        <v>1</v>
      </c>
      <c r="C64" s="10" t="s">
        <v>52</v>
      </c>
      <c r="D64" s="9" t="s">
        <v>55</v>
      </c>
      <c r="E64" t="s">
        <v>54</v>
      </c>
      <c r="F64" s="9" t="s">
        <v>122</v>
      </c>
      <c r="G64" s="7" t="s">
        <v>36</v>
      </c>
      <c r="H64" s="9" t="s">
        <v>53</v>
      </c>
      <c r="I64" s="7" t="s">
        <v>15</v>
      </c>
      <c r="J64" t="s">
        <v>106</v>
      </c>
      <c r="K64" s="7">
        <v>2029</v>
      </c>
      <c r="M64">
        <v>97.3</v>
      </c>
      <c r="Q64" s="3" t="str">
        <f t="shared" si="0"/>
        <v/>
      </c>
      <c r="S64" s="9" t="s">
        <v>123</v>
      </c>
    </row>
    <row r="65" spans="2:19" ht="409.5" hidden="1" x14ac:dyDescent="0.25">
      <c r="B65" s="3" t="s">
        <v>1</v>
      </c>
      <c r="C65" s="6" t="s">
        <v>57</v>
      </c>
      <c r="D65" s="9" t="s">
        <v>56</v>
      </c>
      <c r="E65" s="9" t="s">
        <v>60</v>
      </c>
      <c r="F65" s="9" t="s">
        <v>61</v>
      </c>
      <c r="G65" s="6" t="s">
        <v>59</v>
      </c>
      <c r="H65" s="9" t="s">
        <v>58</v>
      </c>
      <c r="I65" s="7" t="s">
        <v>15</v>
      </c>
      <c r="J65" s="9" t="s">
        <v>106</v>
      </c>
      <c r="K65" s="7" t="s">
        <v>99</v>
      </c>
      <c r="L65">
        <v>88.09</v>
      </c>
      <c r="O65" s="14">
        <v>4125961</v>
      </c>
      <c r="P65" s="14">
        <v>4683584</v>
      </c>
      <c r="Q65" s="3" t="str">
        <f t="shared" si="0"/>
        <v/>
      </c>
      <c r="S65" s="9" t="s">
        <v>131</v>
      </c>
    </row>
    <row r="66" spans="2:19" ht="409.5" hidden="1" x14ac:dyDescent="0.25">
      <c r="B66" s="3" t="s">
        <v>1</v>
      </c>
      <c r="C66" s="6" t="s">
        <v>57</v>
      </c>
      <c r="D66" s="9" t="s">
        <v>56</v>
      </c>
      <c r="E66" s="9" t="s">
        <v>60</v>
      </c>
      <c r="F66" s="9" t="s">
        <v>61</v>
      </c>
      <c r="G66" s="6" t="s">
        <v>59</v>
      </c>
      <c r="H66" s="9" t="s">
        <v>58</v>
      </c>
      <c r="I66" s="7" t="s">
        <v>15</v>
      </c>
      <c r="J66" t="s">
        <v>106</v>
      </c>
      <c r="K66" s="7" t="s">
        <v>100</v>
      </c>
      <c r="M66">
        <v>88.57</v>
      </c>
      <c r="N66">
        <v>87.63</v>
      </c>
      <c r="Q66" s="3" t="str">
        <f t="shared" si="0"/>
        <v>Incumplimiento de meta</v>
      </c>
      <c r="S66" s="9" t="s">
        <v>131</v>
      </c>
    </row>
    <row r="67" spans="2:19" ht="409.5" hidden="1" x14ac:dyDescent="0.25">
      <c r="B67" s="3" t="s">
        <v>1</v>
      </c>
      <c r="C67" s="6" t="s">
        <v>57</v>
      </c>
      <c r="D67" s="9" t="s">
        <v>56</v>
      </c>
      <c r="E67" s="9" t="s">
        <v>60</v>
      </c>
      <c r="F67" s="9" t="s">
        <v>61</v>
      </c>
      <c r="G67" s="6" t="s">
        <v>59</v>
      </c>
      <c r="H67" s="9" t="s">
        <v>58</v>
      </c>
      <c r="I67" s="7" t="s">
        <v>15</v>
      </c>
      <c r="J67" t="s">
        <v>106</v>
      </c>
      <c r="K67" s="7" t="s">
        <v>101</v>
      </c>
      <c r="M67">
        <v>89.04</v>
      </c>
      <c r="Q67" s="3" t="str">
        <f t="shared" si="0"/>
        <v/>
      </c>
      <c r="S67" s="9" t="s">
        <v>131</v>
      </c>
    </row>
    <row r="68" spans="2:19" ht="409.5" hidden="1" x14ac:dyDescent="0.25">
      <c r="B68" s="3" t="s">
        <v>1</v>
      </c>
      <c r="C68" s="6" t="s">
        <v>57</v>
      </c>
      <c r="D68" s="9" t="s">
        <v>56</v>
      </c>
      <c r="E68" s="9" t="s">
        <v>60</v>
      </c>
      <c r="F68" s="9" t="s">
        <v>61</v>
      </c>
      <c r="G68" s="6" t="s">
        <v>59</v>
      </c>
      <c r="H68" s="9" t="s">
        <v>58</v>
      </c>
      <c r="I68" s="7" t="s">
        <v>15</v>
      </c>
      <c r="J68" t="s">
        <v>106</v>
      </c>
      <c r="K68" s="7" t="s">
        <v>102</v>
      </c>
      <c r="M68">
        <v>89.51</v>
      </c>
      <c r="Q68" s="3" t="str">
        <f t="shared" si="0"/>
        <v/>
      </c>
      <c r="S68" s="9" t="s">
        <v>131</v>
      </c>
    </row>
    <row r="69" spans="2:19" ht="409.5" hidden="1" x14ac:dyDescent="0.25">
      <c r="B69" s="3" t="s">
        <v>1</v>
      </c>
      <c r="C69" s="6" t="s">
        <v>57</v>
      </c>
      <c r="D69" s="9" t="s">
        <v>56</v>
      </c>
      <c r="E69" s="9" t="s">
        <v>60</v>
      </c>
      <c r="F69" s="9" t="s">
        <v>61</v>
      </c>
      <c r="G69" s="6" t="s">
        <v>59</v>
      </c>
      <c r="H69" s="9" t="s">
        <v>58</v>
      </c>
      <c r="I69" s="7" t="s">
        <v>15</v>
      </c>
      <c r="J69" t="s">
        <v>106</v>
      </c>
      <c r="K69" s="7" t="s">
        <v>103</v>
      </c>
      <c r="M69">
        <v>89.99</v>
      </c>
      <c r="Q69" s="3"/>
      <c r="S69" s="9" t="s">
        <v>131</v>
      </c>
    </row>
    <row r="70" spans="2:19" ht="409.5" hidden="1" x14ac:dyDescent="0.25">
      <c r="B70" s="3" t="s">
        <v>1</v>
      </c>
      <c r="C70" s="6" t="s">
        <v>57</v>
      </c>
      <c r="D70" s="9" t="s">
        <v>56</v>
      </c>
      <c r="E70" s="9" t="s">
        <v>60</v>
      </c>
      <c r="F70" s="9" t="s">
        <v>61</v>
      </c>
      <c r="G70" s="6" t="s">
        <v>59</v>
      </c>
      <c r="H70" s="9" t="s">
        <v>58</v>
      </c>
      <c r="I70" s="7" t="s">
        <v>15</v>
      </c>
      <c r="J70" t="s">
        <v>106</v>
      </c>
      <c r="K70" s="7" t="s">
        <v>104</v>
      </c>
      <c r="M70">
        <v>90.46</v>
      </c>
      <c r="Q70" s="3" t="str">
        <f>IF(N70="","",IF(N70&gt;M69,"Cumplimiento sobre la meta",IF(M69=N70,"Cumpliento igual a la meta",IF(N70&lt;M69,"Incumplimiento de meta"))))</f>
        <v/>
      </c>
      <c r="S70" s="9" t="s">
        <v>131</v>
      </c>
    </row>
    <row r="71" spans="2:19" ht="409.5" hidden="1" x14ac:dyDescent="0.25">
      <c r="B71" s="3" t="s">
        <v>1</v>
      </c>
      <c r="C71" s="6" t="s">
        <v>62</v>
      </c>
      <c r="D71" s="9" t="s">
        <v>55</v>
      </c>
      <c r="E71" s="6" t="s">
        <v>46</v>
      </c>
      <c r="F71" s="9" t="s">
        <v>115</v>
      </c>
      <c r="G71" s="6" t="s">
        <v>36</v>
      </c>
      <c r="H71" s="9" t="s">
        <v>136</v>
      </c>
      <c r="I71" s="7" t="s">
        <v>15</v>
      </c>
      <c r="J71" t="s">
        <v>106</v>
      </c>
      <c r="K71" s="7" t="s">
        <v>98</v>
      </c>
      <c r="L71">
        <v>23.66</v>
      </c>
      <c r="O71">
        <v>61.49</v>
      </c>
      <c r="P71">
        <v>259.87</v>
      </c>
      <c r="Q71" s="3" t="str">
        <f t="shared" si="0"/>
        <v/>
      </c>
      <c r="S71" s="9" t="s">
        <v>113</v>
      </c>
    </row>
    <row r="72" spans="2:19" ht="409.5" hidden="1" x14ac:dyDescent="0.25">
      <c r="B72" s="3" t="s">
        <v>1</v>
      </c>
      <c r="C72" s="6" t="s">
        <v>62</v>
      </c>
      <c r="D72" s="9" t="s">
        <v>55</v>
      </c>
      <c r="E72" s="6" t="s">
        <v>46</v>
      </c>
      <c r="F72" s="9" t="s">
        <v>115</v>
      </c>
      <c r="G72" s="6" t="s">
        <v>36</v>
      </c>
      <c r="H72" s="9" t="s">
        <v>136</v>
      </c>
      <c r="I72" s="7" t="s">
        <v>15</v>
      </c>
      <c r="J72" t="s">
        <v>106</v>
      </c>
      <c r="K72" s="7" t="s">
        <v>99</v>
      </c>
      <c r="M72">
        <v>23.76</v>
      </c>
      <c r="N72">
        <v>25.9</v>
      </c>
      <c r="Q72" s="3" t="str">
        <f t="shared" si="0"/>
        <v>Cumplimiento sobre la meta</v>
      </c>
      <c r="S72" s="9" t="s">
        <v>113</v>
      </c>
    </row>
    <row r="73" spans="2:19" ht="409.5" hidden="1" x14ac:dyDescent="0.25">
      <c r="B73" s="3" t="s">
        <v>1</v>
      </c>
      <c r="C73" s="6" t="s">
        <v>62</v>
      </c>
      <c r="D73" s="9" t="s">
        <v>55</v>
      </c>
      <c r="E73" s="6" t="s">
        <v>46</v>
      </c>
      <c r="F73" s="9" t="s">
        <v>115</v>
      </c>
      <c r="G73" s="6" t="s">
        <v>36</v>
      </c>
      <c r="H73" s="9" t="s">
        <v>136</v>
      </c>
      <c r="I73" s="7" t="s">
        <v>15</v>
      </c>
      <c r="J73" t="s">
        <v>106</v>
      </c>
      <c r="K73" s="7" t="s">
        <v>100</v>
      </c>
      <c r="M73">
        <v>23.86</v>
      </c>
      <c r="Q73" s="3" t="str">
        <f t="shared" si="0"/>
        <v/>
      </c>
      <c r="S73" s="9" t="s">
        <v>113</v>
      </c>
    </row>
    <row r="74" spans="2:19" ht="409.5" hidden="1" x14ac:dyDescent="0.25">
      <c r="B74" s="3" t="s">
        <v>1</v>
      </c>
      <c r="C74" s="6" t="s">
        <v>62</v>
      </c>
      <c r="D74" s="9" t="s">
        <v>55</v>
      </c>
      <c r="E74" s="6" t="s">
        <v>46</v>
      </c>
      <c r="F74" s="9" t="s">
        <v>115</v>
      </c>
      <c r="G74" s="6" t="s">
        <v>36</v>
      </c>
      <c r="H74" s="9" t="s">
        <v>136</v>
      </c>
      <c r="I74" s="7" t="s">
        <v>15</v>
      </c>
      <c r="J74" t="s">
        <v>106</v>
      </c>
      <c r="K74" s="7" t="s">
        <v>101</v>
      </c>
      <c r="M74">
        <v>23.96</v>
      </c>
      <c r="Q74" s="3" t="str">
        <f t="shared" si="0"/>
        <v/>
      </c>
      <c r="S74" s="9" t="s">
        <v>113</v>
      </c>
    </row>
    <row r="75" spans="2:19" ht="409.5" hidden="1" x14ac:dyDescent="0.25">
      <c r="B75" s="3" t="s">
        <v>1</v>
      </c>
      <c r="C75" s="6" t="s">
        <v>62</v>
      </c>
      <c r="D75" s="9" t="s">
        <v>55</v>
      </c>
      <c r="E75" s="6" t="s">
        <v>46</v>
      </c>
      <c r="F75" s="9" t="s">
        <v>115</v>
      </c>
      <c r="G75" s="6" t="s">
        <v>36</v>
      </c>
      <c r="H75" s="9" t="s">
        <v>136</v>
      </c>
      <c r="I75" s="7" t="s">
        <v>15</v>
      </c>
      <c r="J75" t="s">
        <v>106</v>
      </c>
      <c r="K75" s="7" t="s">
        <v>102</v>
      </c>
      <c r="M75">
        <v>24.26</v>
      </c>
      <c r="Q75" s="3" t="str">
        <f t="shared" si="0"/>
        <v/>
      </c>
      <c r="S75" s="9" t="s">
        <v>113</v>
      </c>
    </row>
    <row r="76" spans="2:19" ht="409.5" hidden="1" x14ac:dyDescent="0.25">
      <c r="B76" s="3" t="s">
        <v>1</v>
      </c>
      <c r="C76" s="6" t="s">
        <v>62</v>
      </c>
      <c r="D76" s="9" t="s">
        <v>55</v>
      </c>
      <c r="E76" s="6" t="s">
        <v>46</v>
      </c>
      <c r="F76" s="9" t="s">
        <v>115</v>
      </c>
      <c r="G76" s="6" t="s">
        <v>36</v>
      </c>
      <c r="H76" s="9" t="s">
        <v>136</v>
      </c>
      <c r="I76" s="7" t="s">
        <v>15</v>
      </c>
      <c r="K76" s="7" t="s">
        <v>103</v>
      </c>
      <c r="M76">
        <v>24.56</v>
      </c>
      <c r="Q76" s="3" t="str">
        <f t="shared" si="0"/>
        <v/>
      </c>
      <c r="S76" s="9" t="s">
        <v>113</v>
      </c>
    </row>
    <row r="77" spans="2:19" ht="409.5" hidden="1" x14ac:dyDescent="0.25">
      <c r="B77" s="3" t="s">
        <v>1</v>
      </c>
      <c r="C77" s="6" t="s">
        <v>62</v>
      </c>
      <c r="D77" s="9" t="s">
        <v>55</v>
      </c>
      <c r="E77" s="6" t="s">
        <v>46</v>
      </c>
      <c r="F77" s="9" t="s">
        <v>115</v>
      </c>
      <c r="G77" s="6" t="s">
        <v>36</v>
      </c>
      <c r="H77" s="9" t="s">
        <v>136</v>
      </c>
      <c r="I77" s="7" t="s">
        <v>15</v>
      </c>
      <c r="J77" t="s">
        <v>106</v>
      </c>
      <c r="K77" s="7" t="s">
        <v>104</v>
      </c>
      <c r="M77">
        <v>24.86</v>
      </c>
      <c r="Q77" s="3" t="str">
        <f t="shared" si="0"/>
        <v/>
      </c>
      <c r="S77" s="9" t="s">
        <v>113</v>
      </c>
    </row>
    <row r="78" spans="2:19" ht="409.5" hidden="1" x14ac:dyDescent="0.25">
      <c r="B78" s="3" t="s">
        <v>1</v>
      </c>
      <c r="C78" s="6" t="s">
        <v>64</v>
      </c>
      <c r="D78" s="9" t="s">
        <v>55</v>
      </c>
      <c r="E78" s="6" t="s">
        <v>46</v>
      </c>
      <c r="F78" s="9" t="s">
        <v>114</v>
      </c>
      <c r="G78" s="6" t="s">
        <v>36</v>
      </c>
      <c r="H78" s="9" t="s">
        <v>136</v>
      </c>
      <c r="I78" s="7" t="s">
        <v>15</v>
      </c>
      <c r="J78" t="s">
        <v>106</v>
      </c>
      <c r="K78" s="7" t="s">
        <v>98</v>
      </c>
      <c r="L78">
        <v>28.97</v>
      </c>
      <c r="O78">
        <v>75.281000000000006</v>
      </c>
      <c r="P78">
        <v>259.87</v>
      </c>
      <c r="Q78" s="3" t="str">
        <f t="shared" si="0"/>
        <v/>
      </c>
      <c r="S78" s="9" t="s">
        <v>116</v>
      </c>
    </row>
    <row r="79" spans="2:19" ht="409.5" hidden="1" x14ac:dyDescent="0.25">
      <c r="B79" s="3" t="s">
        <v>1</v>
      </c>
      <c r="C79" s="6" t="s">
        <v>64</v>
      </c>
      <c r="D79" s="9" t="s">
        <v>55</v>
      </c>
      <c r="E79" s="6" t="s">
        <v>46</v>
      </c>
      <c r="F79" s="9" t="s">
        <v>114</v>
      </c>
      <c r="G79" s="6" t="s">
        <v>36</v>
      </c>
      <c r="H79" s="9" t="s">
        <v>136</v>
      </c>
      <c r="I79" s="7" t="s">
        <v>15</v>
      </c>
      <c r="J79" t="s">
        <v>106</v>
      </c>
      <c r="K79" s="7" t="s">
        <v>99</v>
      </c>
      <c r="M79">
        <v>29.07</v>
      </c>
      <c r="N79">
        <v>41.4</v>
      </c>
      <c r="Q79" s="3" t="str">
        <f t="shared" si="0"/>
        <v>Cumplimiento sobre la meta</v>
      </c>
      <c r="S79" s="9" t="s">
        <v>116</v>
      </c>
    </row>
    <row r="80" spans="2:19" ht="409.5" hidden="1" x14ac:dyDescent="0.25">
      <c r="B80" s="3" t="s">
        <v>1</v>
      </c>
      <c r="C80" s="6" t="s">
        <v>64</v>
      </c>
      <c r="D80" s="9" t="s">
        <v>55</v>
      </c>
      <c r="E80" s="6" t="s">
        <v>46</v>
      </c>
      <c r="F80" s="9" t="s">
        <v>114</v>
      </c>
      <c r="G80" s="6" t="s">
        <v>36</v>
      </c>
      <c r="H80" s="9" t="s">
        <v>136</v>
      </c>
      <c r="I80" s="7" t="s">
        <v>15</v>
      </c>
      <c r="J80" t="s">
        <v>106</v>
      </c>
      <c r="K80" s="7" t="s">
        <v>100</v>
      </c>
      <c r="M80">
        <v>29.17</v>
      </c>
      <c r="Q80" s="3" t="str">
        <f t="shared" si="0"/>
        <v/>
      </c>
      <c r="S80" s="9" t="s">
        <v>116</v>
      </c>
    </row>
    <row r="81" spans="2:19" ht="409.5" hidden="1" x14ac:dyDescent="0.25">
      <c r="B81" s="3" t="s">
        <v>1</v>
      </c>
      <c r="C81" s="6" t="s">
        <v>64</v>
      </c>
      <c r="D81" s="9" t="s">
        <v>55</v>
      </c>
      <c r="E81" s="6" t="s">
        <v>46</v>
      </c>
      <c r="F81" s="9" t="s">
        <v>114</v>
      </c>
      <c r="G81" s="6" t="s">
        <v>36</v>
      </c>
      <c r="H81" s="9" t="s">
        <v>136</v>
      </c>
      <c r="I81" s="7" t="s">
        <v>15</v>
      </c>
      <c r="J81" t="s">
        <v>106</v>
      </c>
      <c r="K81" s="7" t="s">
        <v>101</v>
      </c>
      <c r="M81">
        <v>29.27</v>
      </c>
      <c r="Q81" s="3" t="str">
        <f t="shared" si="0"/>
        <v/>
      </c>
      <c r="S81" s="9" t="s">
        <v>116</v>
      </c>
    </row>
    <row r="82" spans="2:19" ht="409.5" hidden="1" x14ac:dyDescent="0.25">
      <c r="B82" s="3" t="s">
        <v>1</v>
      </c>
      <c r="C82" s="6" t="s">
        <v>64</v>
      </c>
      <c r="D82" s="9" t="s">
        <v>55</v>
      </c>
      <c r="E82" s="6" t="s">
        <v>46</v>
      </c>
      <c r="F82" s="9" t="s">
        <v>114</v>
      </c>
      <c r="G82" s="6" t="s">
        <v>36</v>
      </c>
      <c r="H82" s="9" t="s">
        <v>136</v>
      </c>
      <c r="I82" s="7" t="s">
        <v>15</v>
      </c>
      <c r="J82" t="s">
        <v>106</v>
      </c>
      <c r="K82" s="7" t="s">
        <v>102</v>
      </c>
      <c r="M82">
        <v>29.57</v>
      </c>
      <c r="Q82" s="3" t="str">
        <f t="shared" si="0"/>
        <v/>
      </c>
      <c r="S82" s="9" t="s">
        <v>116</v>
      </c>
    </row>
    <row r="83" spans="2:19" ht="409.5" hidden="1" x14ac:dyDescent="0.25">
      <c r="B83" s="3" t="s">
        <v>1</v>
      </c>
      <c r="C83" s="6" t="s">
        <v>64</v>
      </c>
      <c r="D83" s="9" t="s">
        <v>55</v>
      </c>
      <c r="E83" s="6" t="s">
        <v>46</v>
      </c>
      <c r="F83" s="9" t="s">
        <v>114</v>
      </c>
      <c r="G83" s="6" t="s">
        <v>36</v>
      </c>
      <c r="H83" s="9" t="s">
        <v>136</v>
      </c>
      <c r="I83" s="7" t="s">
        <v>15</v>
      </c>
      <c r="J83" t="s">
        <v>106</v>
      </c>
      <c r="K83" s="7" t="s">
        <v>103</v>
      </c>
      <c r="M83">
        <v>29.87</v>
      </c>
      <c r="Q83" s="3" t="str">
        <f t="shared" si="0"/>
        <v/>
      </c>
      <c r="S83" s="9" t="s">
        <v>116</v>
      </c>
    </row>
    <row r="84" spans="2:19" ht="409.5" hidden="1" x14ac:dyDescent="0.25">
      <c r="B84" s="3" t="s">
        <v>1</v>
      </c>
      <c r="C84" s="6" t="s">
        <v>64</v>
      </c>
      <c r="D84" s="9" t="s">
        <v>55</v>
      </c>
      <c r="E84" s="6" t="s">
        <v>46</v>
      </c>
      <c r="F84" s="9" t="s">
        <v>114</v>
      </c>
      <c r="G84" s="6" t="s">
        <v>36</v>
      </c>
      <c r="H84" s="9" t="s">
        <v>136</v>
      </c>
      <c r="I84" s="7" t="s">
        <v>15</v>
      </c>
      <c r="J84" t="s">
        <v>106</v>
      </c>
      <c r="K84" s="7" t="s">
        <v>104</v>
      </c>
      <c r="M84">
        <v>30.17</v>
      </c>
      <c r="Q84" s="3" t="str">
        <f t="shared" ref="Q84:Q114" si="1">IF(N84="","",IF(N84&gt;M84,"Cumplimiento sobre la meta",IF(M84=N84,"Cumpliento igual a la meta",IF(N84&lt;M84,"Incumplimiento de meta"))))</f>
        <v/>
      </c>
      <c r="S84" s="9" t="s">
        <v>116</v>
      </c>
    </row>
    <row r="85" spans="2:19" ht="409.5" hidden="1" x14ac:dyDescent="0.25">
      <c r="B85" s="3" t="s">
        <v>1</v>
      </c>
      <c r="C85" s="6" t="s">
        <v>65</v>
      </c>
      <c r="D85" s="9" t="s">
        <v>68</v>
      </c>
      <c r="E85" s="6" t="s">
        <v>67</v>
      </c>
      <c r="F85" s="9" t="s">
        <v>94</v>
      </c>
      <c r="G85" s="6" t="s">
        <v>69</v>
      </c>
      <c r="H85" s="9" t="s">
        <v>66</v>
      </c>
      <c r="I85" s="7" t="s">
        <v>15</v>
      </c>
      <c r="J85" t="s">
        <v>110</v>
      </c>
      <c r="K85" s="7">
        <v>2024</v>
      </c>
      <c r="L85">
        <v>0.96</v>
      </c>
      <c r="Q85" s="3" t="str">
        <f t="shared" si="1"/>
        <v/>
      </c>
      <c r="S85" s="9" t="s">
        <v>95</v>
      </c>
    </row>
    <row r="86" spans="2:19" ht="409.5" hidden="1" x14ac:dyDescent="0.25">
      <c r="B86" s="3" t="s">
        <v>1</v>
      </c>
      <c r="C86" s="6" t="s">
        <v>65</v>
      </c>
      <c r="D86" s="9" t="s">
        <v>68</v>
      </c>
      <c r="E86" s="6" t="s">
        <v>67</v>
      </c>
      <c r="F86" s="9" t="s">
        <v>94</v>
      </c>
      <c r="G86" s="6" t="s">
        <v>69</v>
      </c>
      <c r="H86" s="9" t="s">
        <v>66</v>
      </c>
      <c r="I86" s="7" t="s">
        <v>15</v>
      </c>
      <c r="J86" t="s">
        <v>110</v>
      </c>
      <c r="K86" s="7">
        <v>2025</v>
      </c>
      <c r="M86">
        <v>1.0900000000000001</v>
      </c>
      <c r="N86">
        <v>1.1100000000000001</v>
      </c>
      <c r="Q86" s="3" t="str">
        <f t="shared" si="1"/>
        <v>Cumplimiento sobre la meta</v>
      </c>
      <c r="S86" s="9" t="s">
        <v>95</v>
      </c>
    </row>
    <row r="87" spans="2:19" ht="409.5" hidden="1" x14ac:dyDescent="0.25">
      <c r="B87" s="3" t="s">
        <v>1</v>
      </c>
      <c r="C87" s="6" t="s">
        <v>65</v>
      </c>
      <c r="D87" s="9" t="s">
        <v>68</v>
      </c>
      <c r="E87" s="6" t="s">
        <v>67</v>
      </c>
      <c r="F87" s="9" t="s">
        <v>94</v>
      </c>
      <c r="G87" s="6" t="s">
        <v>69</v>
      </c>
      <c r="H87" s="9" t="s">
        <v>66</v>
      </c>
      <c r="I87" s="7" t="s">
        <v>15</v>
      </c>
      <c r="J87" t="s">
        <v>110</v>
      </c>
      <c r="K87" s="7">
        <v>2026</v>
      </c>
      <c r="M87">
        <v>1.24</v>
      </c>
      <c r="Q87" s="3" t="str">
        <f t="shared" si="1"/>
        <v/>
      </c>
      <c r="S87" s="9" t="s">
        <v>95</v>
      </c>
    </row>
    <row r="88" spans="2:19" ht="409.5" hidden="1" x14ac:dyDescent="0.25">
      <c r="B88" s="3" t="s">
        <v>1</v>
      </c>
      <c r="C88" s="6" t="s">
        <v>65</v>
      </c>
      <c r="D88" s="9" t="s">
        <v>68</v>
      </c>
      <c r="E88" s="6" t="s">
        <v>67</v>
      </c>
      <c r="F88" s="9" t="s">
        <v>94</v>
      </c>
      <c r="G88" s="6" t="s">
        <v>69</v>
      </c>
      <c r="H88" s="9" t="s">
        <v>66</v>
      </c>
      <c r="I88" s="7" t="s">
        <v>15</v>
      </c>
      <c r="J88" t="s">
        <v>110</v>
      </c>
      <c r="K88" s="7">
        <v>2027</v>
      </c>
      <c r="M88">
        <v>1.41</v>
      </c>
      <c r="Q88" s="3" t="str">
        <f t="shared" si="1"/>
        <v/>
      </c>
      <c r="S88" s="9" t="s">
        <v>95</v>
      </c>
    </row>
    <row r="89" spans="2:19" ht="409.5" hidden="1" x14ac:dyDescent="0.25">
      <c r="B89" s="3" t="s">
        <v>1</v>
      </c>
      <c r="C89" s="6" t="s">
        <v>65</v>
      </c>
      <c r="D89" s="9" t="s">
        <v>68</v>
      </c>
      <c r="E89" s="6" t="s">
        <v>67</v>
      </c>
      <c r="F89" s="9" t="s">
        <v>94</v>
      </c>
      <c r="G89" s="6" t="s">
        <v>69</v>
      </c>
      <c r="H89" s="9" t="s">
        <v>66</v>
      </c>
      <c r="I89" s="7" t="s">
        <v>15</v>
      </c>
      <c r="J89" t="s">
        <v>110</v>
      </c>
      <c r="K89" s="7">
        <v>2028</v>
      </c>
      <c r="M89">
        <v>1.61</v>
      </c>
      <c r="Q89" s="3" t="str">
        <f t="shared" si="1"/>
        <v/>
      </c>
      <c r="S89" s="9" t="s">
        <v>95</v>
      </c>
    </row>
    <row r="90" spans="2:19" ht="409.5" hidden="1" x14ac:dyDescent="0.25">
      <c r="B90" s="3" t="s">
        <v>1</v>
      </c>
      <c r="C90" s="6" t="s">
        <v>65</v>
      </c>
      <c r="D90" s="9" t="s">
        <v>68</v>
      </c>
      <c r="E90" s="6" t="s">
        <v>67</v>
      </c>
      <c r="F90" s="9" t="s">
        <v>94</v>
      </c>
      <c r="G90" s="6" t="s">
        <v>69</v>
      </c>
      <c r="H90" s="9" t="s">
        <v>66</v>
      </c>
      <c r="I90" s="7" t="s">
        <v>15</v>
      </c>
      <c r="J90" t="s">
        <v>110</v>
      </c>
      <c r="K90" s="7">
        <v>2029</v>
      </c>
      <c r="M90">
        <v>1.83</v>
      </c>
      <c r="Q90" s="3" t="str">
        <f t="shared" si="1"/>
        <v/>
      </c>
      <c r="S90" s="9" t="s">
        <v>95</v>
      </c>
    </row>
    <row r="91" spans="2:19" ht="409.5" hidden="1" x14ac:dyDescent="0.25">
      <c r="B91" s="3" t="s">
        <v>1</v>
      </c>
      <c r="C91" s="6" t="s">
        <v>70</v>
      </c>
      <c r="D91" s="9" t="s">
        <v>68</v>
      </c>
      <c r="E91" s="6" t="s">
        <v>71</v>
      </c>
      <c r="F91" s="9" t="s">
        <v>72</v>
      </c>
      <c r="G91" s="6" t="s">
        <v>28</v>
      </c>
      <c r="H91" s="9" t="s">
        <v>73</v>
      </c>
      <c r="I91" s="7" t="s">
        <v>15</v>
      </c>
      <c r="J91" t="s">
        <v>109</v>
      </c>
      <c r="K91" s="7">
        <v>2024</v>
      </c>
      <c r="L91">
        <v>107.563</v>
      </c>
      <c r="Q91" s="3" t="str">
        <f t="shared" si="1"/>
        <v/>
      </c>
      <c r="S91" s="9" t="s">
        <v>93</v>
      </c>
    </row>
    <row r="92" spans="2:19" ht="409.5" hidden="1" x14ac:dyDescent="0.25">
      <c r="B92" s="3" t="s">
        <v>1</v>
      </c>
      <c r="C92" s="6" t="s">
        <v>70</v>
      </c>
      <c r="D92" s="9" t="s">
        <v>68</v>
      </c>
      <c r="E92" s="6" t="s">
        <v>71</v>
      </c>
      <c r="F92" s="9" t="s">
        <v>72</v>
      </c>
      <c r="G92" s="6" t="s">
        <v>28</v>
      </c>
      <c r="H92" s="9" t="s">
        <v>73</v>
      </c>
      <c r="I92" s="7" t="s">
        <v>15</v>
      </c>
      <c r="J92" t="s">
        <v>109</v>
      </c>
      <c r="K92" s="7">
        <v>2025</v>
      </c>
      <c r="M92">
        <v>116.604</v>
      </c>
      <c r="N92">
        <v>357.72500000000002</v>
      </c>
      <c r="Q92" s="3" t="str">
        <f t="shared" si="1"/>
        <v>Cumplimiento sobre la meta</v>
      </c>
      <c r="S92" s="9" t="s">
        <v>93</v>
      </c>
    </row>
    <row r="93" spans="2:19" ht="409.5" hidden="1" x14ac:dyDescent="0.25">
      <c r="B93" s="3" t="s">
        <v>1</v>
      </c>
      <c r="C93" s="6" t="s">
        <v>70</v>
      </c>
      <c r="D93" s="9" t="s">
        <v>68</v>
      </c>
      <c r="E93" s="6" t="s">
        <v>71</v>
      </c>
      <c r="F93" s="9" t="s">
        <v>72</v>
      </c>
      <c r="G93" s="6" t="s">
        <v>28</v>
      </c>
      <c r="H93" s="9" t="s">
        <v>73</v>
      </c>
      <c r="I93" s="7" t="s">
        <v>15</v>
      </c>
      <c r="J93" t="s">
        <v>109</v>
      </c>
      <c r="K93" s="7">
        <v>2026</v>
      </c>
      <c r="M93">
        <v>125.646</v>
      </c>
      <c r="Q93" s="3" t="str">
        <f t="shared" si="1"/>
        <v/>
      </c>
      <c r="S93" s="9" t="s">
        <v>93</v>
      </c>
    </row>
    <row r="94" spans="2:19" ht="409.5" hidden="1" x14ac:dyDescent="0.25">
      <c r="B94" s="3" t="s">
        <v>1</v>
      </c>
      <c r="C94" s="6" t="s">
        <v>70</v>
      </c>
      <c r="D94" s="9" t="s">
        <v>68</v>
      </c>
      <c r="E94" s="6" t="s">
        <v>71</v>
      </c>
      <c r="F94" s="9" t="s">
        <v>72</v>
      </c>
      <c r="G94" s="6" t="s">
        <v>28</v>
      </c>
      <c r="H94" s="9" t="s">
        <v>73</v>
      </c>
      <c r="I94" s="7" t="s">
        <v>15</v>
      </c>
      <c r="J94" t="s">
        <v>109</v>
      </c>
      <c r="K94" s="7">
        <v>2027</v>
      </c>
      <c r="M94">
        <v>134.68700000000001</v>
      </c>
      <c r="Q94" s="3" t="str">
        <f t="shared" si="1"/>
        <v/>
      </c>
      <c r="S94" s="9" t="s">
        <v>93</v>
      </c>
    </row>
    <row r="95" spans="2:19" ht="409.5" hidden="1" x14ac:dyDescent="0.25">
      <c r="B95" s="3" t="s">
        <v>1</v>
      </c>
      <c r="C95" s="6" t="s">
        <v>70</v>
      </c>
      <c r="D95" s="9" t="s">
        <v>68</v>
      </c>
      <c r="E95" s="6" t="s">
        <v>71</v>
      </c>
      <c r="F95" s="9" t="s">
        <v>72</v>
      </c>
      <c r="G95" s="6" t="s">
        <v>28</v>
      </c>
      <c r="H95" s="9" t="s">
        <v>73</v>
      </c>
      <c r="I95" s="7" t="s">
        <v>15</v>
      </c>
      <c r="J95" t="s">
        <v>109</v>
      </c>
      <c r="K95" s="7">
        <v>2028</v>
      </c>
      <c r="M95">
        <v>143.72900000000001</v>
      </c>
      <c r="Q95" s="3" t="str">
        <f t="shared" si="1"/>
        <v/>
      </c>
      <c r="S95" s="9" t="s">
        <v>93</v>
      </c>
    </row>
    <row r="96" spans="2:19" ht="409.5" hidden="1" x14ac:dyDescent="0.25">
      <c r="B96" s="3" t="s">
        <v>1</v>
      </c>
      <c r="C96" s="6" t="s">
        <v>70</v>
      </c>
      <c r="D96" s="9" t="s">
        <v>68</v>
      </c>
      <c r="E96" s="6" t="s">
        <v>71</v>
      </c>
      <c r="F96" s="9" t="s">
        <v>72</v>
      </c>
      <c r="G96" s="6" t="s">
        <v>28</v>
      </c>
      <c r="H96" s="9" t="s">
        <v>73</v>
      </c>
      <c r="I96" s="7" t="s">
        <v>15</v>
      </c>
      <c r="J96" t="s">
        <v>109</v>
      </c>
      <c r="K96" s="7">
        <v>2029</v>
      </c>
      <c r="M96">
        <v>152.77000000000001</v>
      </c>
      <c r="Q96" s="3" t="str">
        <f t="shared" si="1"/>
        <v/>
      </c>
      <c r="S96" s="9" t="s">
        <v>93</v>
      </c>
    </row>
    <row r="97" spans="2:19" ht="409.5" hidden="1" x14ac:dyDescent="0.25">
      <c r="B97" s="3" t="s">
        <v>1</v>
      </c>
      <c r="C97" s="6" t="s">
        <v>74</v>
      </c>
      <c r="D97" s="9" t="s">
        <v>68</v>
      </c>
      <c r="E97" s="6" t="s">
        <v>75</v>
      </c>
      <c r="F97" s="9" t="s">
        <v>76</v>
      </c>
      <c r="G97" s="6" t="s">
        <v>36</v>
      </c>
      <c r="H97" s="9" t="s">
        <v>77</v>
      </c>
      <c r="I97" s="7" t="s">
        <v>15</v>
      </c>
      <c r="J97" t="s">
        <v>129</v>
      </c>
      <c r="K97" s="7">
        <v>2023</v>
      </c>
      <c r="L97">
        <v>42.8</v>
      </c>
      <c r="O97" s="14">
        <v>922349</v>
      </c>
      <c r="P97" s="14">
        <v>2155137</v>
      </c>
      <c r="Q97" s="3" t="str">
        <f t="shared" si="1"/>
        <v/>
      </c>
      <c r="S97" s="9" t="s">
        <v>130</v>
      </c>
    </row>
    <row r="98" spans="2:19" ht="409.5" hidden="1" x14ac:dyDescent="0.25">
      <c r="B98" s="3" t="s">
        <v>1</v>
      </c>
      <c r="C98" s="6" t="s">
        <v>74</v>
      </c>
      <c r="D98" s="9" t="s">
        <v>68</v>
      </c>
      <c r="E98" s="6" t="s">
        <v>75</v>
      </c>
      <c r="F98" s="9" t="s">
        <v>76</v>
      </c>
      <c r="G98" s="6" t="s">
        <v>36</v>
      </c>
      <c r="H98" s="9" t="s">
        <v>77</v>
      </c>
      <c r="I98" s="7" t="s">
        <v>15</v>
      </c>
      <c r="J98" t="s">
        <v>129</v>
      </c>
      <c r="K98" s="7">
        <v>2024</v>
      </c>
      <c r="M98">
        <v>43.95</v>
      </c>
      <c r="Q98" s="3"/>
      <c r="R98" s="9" t="s">
        <v>137</v>
      </c>
      <c r="S98" s="9" t="s">
        <v>130</v>
      </c>
    </row>
    <row r="99" spans="2:19" ht="409.5" hidden="1" x14ac:dyDescent="0.25">
      <c r="B99" s="3" t="s">
        <v>1</v>
      </c>
      <c r="C99" s="6" t="s">
        <v>74</v>
      </c>
      <c r="D99" s="9" t="s">
        <v>68</v>
      </c>
      <c r="E99" s="6" t="s">
        <v>75</v>
      </c>
      <c r="F99" s="9" t="s">
        <v>76</v>
      </c>
      <c r="G99" s="6" t="s">
        <v>36</v>
      </c>
      <c r="H99" s="9" t="s">
        <v>77</v>
      </c>
      <c r="I99" s="7" t="s">
        <v>15</v>
      </c>
      <c r="J99" t="s">
        <v>129</v>
      </c>
      <c r="K99" s="7">
        <v>2025</v>
      </c>
      <c r="M99">
        <v>45</v>
      </c>
      <c r="Q99" s="3" t="str">
        <f t="shared" si="1"/>
        <v/>
      </c>
      <c r="S99" s="9" t="s">
        <v>130</v>
      </c>
    </row>
    <row r="100" spans="2:19" ht="409.5" hidden="1" x14ac:dyDescent="0.25">
      <c r="B100" s="3" t="s">
        <v>1</v>
      </c>
      <c r="C100" s="6" t="s">
        <v>74</v>
      </c>
      <c r="D100" s="9" t="s">
        <v>68</v>
      </c>
      <c r="E100" s="6" t="s">
        <v>75</v>
      </c>
      <c r="F100" s="9" t="s">
        <v>76</v>
      </c>
      <c r="G100" s="6" t="s">
        <v>36</v>
      </c>
      <c r="H100" s="9" t="s">
        <v>77</v>
      </c>
      <c r="I100" s="7" t="s">
        <v>15</v>
      </c>
      <c r="J100" t="s">
        <v>129</v>
      </c>
      <c r="K100" s="7">
        <v>2026</v>
      </c>
      <c r="M100">
        <v>45.97</v>
      </c>
      <c r="Q100" s="3" t="str">
        <f t="shared" si="1"/>
        <v/>
      </c>
      <c r="S100" s="9" t="s">
        <v>130</v>
      </c>
    </row>
    <row r="101" spans="2:19" ht="409.5" hidden="1" x14ac:dyDescent="0.25">
      <c r="B101" s="3" t="s">
        <v>1</v>
      </c>
      <c r="C101" s="6" t="s">
        <v>74</v>
      </c>
      <c r="D101" s="9" t="s">
        <v>68</v>
      </c>
      <c r="E101" s="6" t="s">
        <v>75</v>
      </c>
      <c r="F101" s="9" t="s">
        <v>76</v>
      </c>
      <c r="G101" s="6" t="s">
        <v>36</v>
      </c>
      <c r="H101" s="9" t="s">
        <v>77</v>
      </c>
      <c r="I101" s="7" t="s">
        <v>15</v>
      </c>
      <c r="J101" t="s">
        <v>129</v>
      </c>
      <c r="K101" s="7">
        <v>2027</v>
      </c>
      <c r="M101">
        <v>46.88</v>
      </c>
      <c r="Q101" s="3"/>
      <c r="S101" s="9" t="s">
        <v>130</v>
      </c>
    </row>
    <row r="102" spans="2:19" ht="409.5" hidden="1" x14ac:dyDescent="0.25">
      <c r="B102" s="3" t="s">
        <v>1</v>
      </c>
      <c r="C102" s="6" t="s">
        <v>74</v>
      </c>
      <c r="D102" s="9" t="s">
        <v>68</v>
      </c>
      <c r="E102" s="6" t="s">
        <v>75</v>
      </c>
      <c r="F102" s="9" t="s">
        <v>76</v>
      </c>
      <c r="G102" s="6" t="s">
        <v>36</v>
      </c>
      <c r="H102" s="9" t="s">
        <v>77</v>
      </c>
      <c r="I102" s="7" t="s">
        <v>15</v>
      </c>
      <c r="J102" t="s">
        <v>129</v>
      </c>
      <c r="K102" s="7">
        <v>2028</v>
      </c>
      <c r="M102">
        <v>47.74</v>
      </c>
      <c r="Q102" s="3" t="str">
        <f>IF(N102="","",IF(N102&gt;M101,"Cumplimiento sobre la meta",IF(M101=N102,"Cumpliento igual a la meta",IF(N102&lt;M101,"Incumplimiento de meta"))))</f>
        <v/>
      </c>
      <c r="S102" s="9" t="s">
        <v>130</v>
      </c>
    </row>
    <row r="103" spans="2:19" ht="409.5" hidden="1" x14ac:dyDescent="0.25">
      <c r="B103" s="3" t="s">
        <v>1</v>
      </c>
      <c r="C103" s="6" t="s">
        <v>74</v>
      </c>
      <c r="D103" s="9" t="s">
        <v>68</v>
      </c>
      <c r="E103" s="6" t="s">
        <v>75</v>
      </c>
      <c r="F103" s="9" t="s">
        <v>76</v>
      </c>
      <c r="G103" s="6" t="s">
        <v>36</v>
      </c>
      <c r="H103" s="9" t="s">
        <v>77</v>
      </c>
      <c r="I103" s="7" t="s">
        <v>15</v>
      </c>
      <c r="J103" t="s">
        <v>129</v>
      </c>
      <c r="K103" s="7">
        <v>2029</v>
      </c>
      <c r="M103">
        <v>48.6</v>
      </c>
      <c r="Q103" s="11" t="str">
        <f>IF(N103="","",IF(N103&gt;M102,"Cumplimiento sobre la meta",IF(M102=N103,"Cumpliento igual a la meta",IF(N103&lt;M102,"Incumplimiento de meta"))))</f>
        <v/>
      </c>
      <c r="S103" s="9" t="s">
        <v>130</v>
      </c>
    </row>
    <row r="104" spans="2:19" ht="409.5" hidden="1" x14ac:dyDescent="0.25">
      <c r="B104" s="3" t="s">
        <v>1</v>
      </c>
      <c r="C104" s="6" t="s">
        <v>78</v>
      </c>
      <c r="D104" s="9" t="s">
        <v>26</v>
      </c>
      <c r="E104" s="6" t="s">
        <v>79</v>
      </c>
      <c r="F104" s="9" t="s">
        <v>80</v>
      </c>
      <c r="G104" s="6" t="s">
        <v>81</v>
      </c>
      <c r="H104" s="9" t="s">
        <v>134</v>
      </c>
      <c r="I104" s="7" t="s">
        <v>15</v>
      </c>
      <c r="J104" t="s">
        <v>132</v>
      </c>
      <c r="K104" s="7">
        <v>2024</v>
      </c>
      <c r="L104">
        <v>1.42</v>
      </c>
      <c r="Q104" s="11" t="str">
        <f t="shared" si="1"/>
        <v/>
      </c>
      <c r="S104" s="9" t="s">
        <v>133</v>
      </c>
    </row>
    <row r="105" spans="2:19" ht="409.5" hidden="1" x14ac:dyDescent="0.25">
      <c r="B105" s="3" t="s">
        <v>1</v>
      </c>
      <c r="C105" s="6" t="s">
        <v>78</v>
      </c>
      <c r="D105" s="9" t="s">
        <v>26</v>
      </c>
      <c r="E105" s="6" t="s">
        <v>79</v>
      </c>
      <c r="F105" s="9" t="s">
        <v>80</v>
      </c>
      <c r="G105" s="6" t="s">
        <v>81</v>
      </c>
      <c r="H105" s="9" t="s">
        <v>134</v>
      </c>
      <c r="I105" s="7" t="s">
        <v>15</v>
      </c>
      <c r="J105" t="s">
        <v>132</v>
      </c>
      <c r="K105" s="7">
        <v>2025</v>
      </c>
      <c r="M105">
        <v>3.96</v>
      </c>
      <c r="N105">
        <v>25.28</v>
      </c>
      <c r="Q105" s="11" t="str">
        <f t="shared" si="1"/>
        <v>Cumplimiento sobre la meta</v>
      </c>
      <c r="S105" s="9" t="s">
        <v>133</v>
      </c>
    </row>
    <row r="106" spans="2:19" ht="409.5" hidden="1" x14ac:dyDescent="0.25">
      <c r="B106" s="3" t="s">
        <v>1</v>
      </c>
      <c r="C106" s="6" t="s">
        <v>78</v>
      </c>
      <c r="D106" s="9" t="s">
        <v>26</v>
      </c>
      <c r="E106" s="6" t="s">
        <v>79</v>
      </c>
      <c r="F106" s="9" t="s">
        <v>80</v>
      </c>
      <c r="G106" s="6" t="s">
        <v>81</v>
      </c>
      <c r="H106" s="9" t="s">
        <v>134</v>
      </c>
      <c r="I106" s="7" t="s">
        <v>15</v>
      </c>
      <c r="J106" t="s">
        <v>132</v>
      </c>
      <c r="K106" s="7">
        <v>2026</v>
      </c>
      <c r="M106">
        <v>6.56</v>
      </c>
      <c r="Q106" s="11" t="str">
        <f t="shared" si="1"/>
        <v/>
      </c>
      <c r="S106" s="9" t="s">
        <v>133</v>
      </c>
    </row>
    <row r="107" spans="2:19" ht="409.5" hidden="1" x14ac:dyDescent="0.25">
      <c r="B107" s="3" t="s">
        <v>1</v>
      </c>
      <c r="C107" s="6" t="s">
        <v>78</v>
      </c>
      <c r="D107" s="9" t="s">
        <v>26</v>
      </c>
      <c r="E107" s="6" t="s">
        <v>79</v>
      </c>
      <c r="F107" s="9" t="s">
        <v>80</v>
      </c>
      <c r="G107" s="6" t="s">
        <v>81</v>
      </c>
      <c r="H107" s="9" t="s">
        <v>134</v>
      </c>
      <c r="I107" s="7" t="s">
        <v>15</v>
      </c>
      <c r="J107" t="s">
        <v>132</v>
      </c>
      <c r="K107" s="7">
        <v>2027</v>
      </c>
      <c r="M107">
        <v>9.2200000000000006</v>
      </c>
      <c r="Q107" s="11" t="str">
        <f t="shared" si="1"/>
        <v/>
      </c>
      <c r="S107" s="9" t="s">
        <v>133</v>
      </c>
    </row>
    <row r="108" spans="2:19" ht="409.5" hidden="1" x14ac:dyDescent="0.25">
      <c r="B108" s="3" t="s">
        <v>1</v>
      </c>
      <c r="C108" s="6" t="s">
        <v>78</v>
      </c>
      <c r="D108" s="9" t="s">
        <v>26</v>
      </c>
      <c r="E108" s="6" t="s">
        <v>79</v>
      </c>
      <c r="F108" s="9" t="s">
        <v>80</v>
      </c>
      <c r="G108" s="6" t="s">
        <v>81</v>
      </c>
      <c r="H108" s="9" t="s">
        <v>134</v>
      </c>
      <c r="I108" s="7" t="s">
        <v>15</v>
      </c>
      <c r="J108" t="s">
        <v>132</v>
      </c>
      <c r="K108" s="7">
        <v>2028</v>
      </c>
      <c r="M108">
        <v>11.95</v>
      </c>
      <c r="Q108" s="11" t="str">
        <f t="shared" si="1"/>
        <v/>
      </c>
      <c r="S108" s="9" t="s">
        <v>133</v>
      </c>
    </row>
    <row r="109" spans="2:19" ht="409.5" hidden="1" x14ac:dyDescent="0.25">
      <c r="B109" s="3" t="s">
        <v>1</v>
      </c>
      <c r="C109" s="6" t="s">
        <v>78</v>
      </c>
      <c r="D109" s="9" t="s">
        <v>26</v>
      </c>
      <c r="E109" s="6" t="s">
        <v>79</v>
      </c>
      <c r="F109" s="9" t="s">
        <v>80</v>
      </c>
      <c r="G109" s="6" t="s">
        <v>81</v>
      </c>
      <c r="H109" s="9" t="s">
        <v>134</v>
      </c>
      <c r="I109" s="7" t="s">
        <v>15</v>
      </c>
      <c r="J109" t="s">
        <v>132</v>
      </c>
      <c r="K109" s="7">
        <v>2029</v>
      </c>
      <c r="M109">
        <v>14.75</v>
      </c>
      <c r="Q109" s="11" t="str">
        <f t="shared" si="1"/>
        <v/>
      </c>
      <c r="S109" s="9" t="s">
        <v>133</v>
      </c>
    </row>
    <row r="110" spans="2:19" ht="285" hidden="1" x14ac:dyDescent="0.25">
      <c r="B110" s="3" t="s">
        <v>1</v>
      </c>
      <c r="C110" s="15" t="s">
        <v>82</v>
      </c>
      <c r="D110" s="9" t="s">
        <v>6</v>
      </c>
      <c r="E110" s="6" t="s">
        <v>83</v>
      </c>
      <c r="F110" s="9" t="s">
        <v>84</v>
      </c>
      <c r="G110" s="6" t="s">
        <v>85</v>
      </c>
      <c r="H110" s="9" t="s">
        <v>86</v>
      </c>
      <c r="I110" s="9" t="s">
        <v>87</v>
      </c>
      <c r="J110" s="9" t="s">
        <v>128</v>
      </c>
      <c r="K110" s="7">
        <v>2024</v>
      </c>
      <c r="L110">
        <v>12.5</v>
      </c>
      <c r="Q110" s="11" t="str">
        <f t="shared" si="1"/>
        <v/>
      </c>
      <c r="S110" s="9" t="s">
        <v>135</v>
      </c>
    </row>
    <row r="111" spans="2:19" ht="285" hidden="1" x14ac:dyDescent="0.25">
      <c r="B111" s="3" t="s">
        <v>1</v>
      </c>
      <c r="C111" s="15" t="s">
        <v>82</v>
      </c>
      <c r="D111" s="9" t="s">
        <v>6</v>
      </c>
      <c r="E111" s="6" t="s">
        <v>83</v>
      </c>
      <c r="F111" s="9" t="s">
        <v>84</v>
      </c>
      <c r="G111" s="6" t="s">
        <v>85</v>
      </c>
      <c r="H111" s="9" t="s">
        <v>86</v>
      </c>
      <c r="I111" s="9" t="s">
        <v>87</v>
      </c>
      <c r="J111" s="9" t="s">
        <v>128</v>
      </c>
      <c r="K111" s="7">
        <v>2025</v>
      </c>
      <c r="M111">
        <v>56.37</v>
      </c>
      <c r="N111">
        <v>75.56</v>
      </c>
      <c r="Q111" s="11" t="str">
        <f t="shared" si="1"/>
        <v>Cumplimiento sobre la meta</v>
      </c>
      <c r="S111" s="9" t="s">
        <v>135</v>
      </c>
    </row>
    <row r="112" spans="2:19" ht="285" hidden="1" x14ac:dyDescent="0.25">
      <c r="B112" s="3" t="s">
        <v>1</v>
      </c>
      <c r="C112" s="15" t="s">
        <v>82</v>
      </c>
      <c r="D112" s="9" t="s">
        <v>6</v>
      </c>
      <c r="E112" s="6" t="s">
        <v>83</v>
      </c>
      <c r="F112" s="9" t="s">
        <v>84</v>
      </c>
      <c r="G112" s="6" t="s">
        <v>85</v>
      </c>
      <c r="H112" s="9" t="s">
        <v>86</v>
      </c>
      <c r="I112" s="9" t="s">
        <v>87</v>
      </c>
      <c r="J112" s="9" t="s">
        <v>128</v>
      </c>
      <c r="K112" s="7">
        <v>2026</v>
      </c>
      <c r="M112">
        <v>35.619999999999997</v>
      </c>
      <c r="Q112" s="11" t="str">
        <f t="shared" si="1"/>
        <v/>
      </c>
      <c r="S112" s="9" t="s">
        <v>135</v>
      </c>
    </row>
    <row r="113" spans="2:19" ht="285" hidden="1" x14ac:dyDescent="0.25">
      <c r="B113" s="3" t="s">
        <v>1</v>
      </c>
      <c r="C113" s="15" t="s">
        <v>82</v>
      </c>
      <c r="D113" s="9" t="s">
        <v>6</v>
      </c>
      <c r="E113" s="6" t="s">
        <v>83</v>
      </c>
      <c r="F113" s="9" t="s">
        <v>84</v>
      </c>
      <c r="G113" s="6" t="s">
        <v>85</v>
      </c>
      <c r="H113" s="9" t="s">
        <v>86</v>
      </c>
      <c r="I113" s="9" t="s">
        <v>87</v>
      </c>
      <c r="J113" s="9" t="s">
        <v>128</v>
      </c>
      <c r="K113" s="7">
        <v>2027</v>
      </c>
      <c r="M113">
        <v>20.45</v>
      </c>
      <c r="Q113" s="11" t="str">
        <f t="shared" si="1"/>
        <v/>
      </c>
      <c r="S113" s="9" t="s">
        <v>135</v>
      </c>
    </row>
    <row r="114" spans="2:19" ht="285" hidden="1" x14ac:dyDescent="0.25">
      <c r="B114" s="3" t="s">
        <v>1</v>
      </c>
      <c r="C114" s="15" t="s">
        <v>82</v>
      </c>
      <c r="D114" s="9" t="s">
        <v>6</v>
      </c>
      <c r="E114" s="6" t="s">
        <v>83</v>
      </c>
      <c r="F114" s="9" t="s">
        <v>84</v>
      </c>
      <c r="G114" s="6" t="s">
        <v>85</v>
      </c>
      <c r="H114" s="9" t="s">
        <v>86</v>
      </c>
      <c r="I114" s="9" t="s">
        <v>87</v>
      </c>
      <c r="J114" s="9" t="s">
        <v>128</v>
      </c>
      <c r="K114" s="7">
        <v>2028</v>
      </c>
      <c r="M114">
        <v>12.5</v>
      </c>
      <c r="Q114" s="11" t="str">
        <f t="shared" si="1"/>
        <v/>
      </c>
      <c r="S114" s="9" t="s">
        <v>135</v>
      </c>
    </row>
  </sheetData>
  <autoFilter ref="B1:U114" xr:uid="{762A1FF0-28C6-4AF5-9A15-8F10674990A8}">
    <filterColumn colId="1">
      <filters>
        <filter val="Número de obras, proyectos y, producciones artísticas y culturales financiadas con fondos de fomento no reembolsables"/>
      </filters>
    </filterColumn>
    <filterColumn colId="2">
      <filters>
        <filter val="Viceministerio de Cultura"/>
      </filters>
    </filterColumn>
  </autoFilter>
  <phoneticPr fontId="5" type="noConversion"/>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MaGU1 ESCOLA</dc:creator>
  <cp:lastModifiedBy>Ricardo Andres Castellanos Morocho</cp:lastModifiedBy>
  <dcterms:created xsi:type="dcterms:W3CDTF">2026-09-07T14:10:32Z</dcterms:created>
  <dcterms:modified xsi:type="dcterms:W3CDTF">2026-09-23T17:51:32Z</dcterms:modified>
</cp:coreProperties>
</file>