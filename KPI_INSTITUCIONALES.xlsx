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icardoCastellanos\Dashboard_CGTGE\Dashboard_CGTGEv2\"/>
    </mc:Choice>
  </mc:AlternateContent>
  <xr:revisionPtr revIDLastSave="0" documentId="13_ncr:1_{AC3F60A6-35AB-4D3E-A775-A8A686F046B7}" xr6:coauthVersionLast="47" xr6:coauthVersionMax="47" xr10:uidLastSave="{00000000-0000-0000-0000-000000000000}"/>
  <bookViews>
    <workbookView xWindow="-120" yWindow="-120" windowWidth="29040" windowHeight="15720" xr2:uid="{B56F472B-3B3F-40EA-AF5E-1ECBE373ED1B}"/>
  </bookViews>
  <sheets>
    <sheet name="Hoja1" sheetId="1" r:id="rId1"/>
  </sheets>
  <definedNames>
    <definedName name="_xlnm._FilterDatabase" localSheetId="0" hidden="1">Hoja1!$A$1:$T$74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3" i="1"/>
  <c r="Q2" i="1"/>
</calcChain>
</file>

<file path=xl/sharedStrings.xml><?xml version="1.0" encoding="utf-8"?>
<sst xmlns="http://schemas.openxmlformats.org/spreadsheetml/2006/main" count="618" uniqueCount="62">
  <si>
    <t>Dirección de Formación Continua</t>
  </si>
  <si>
    <t>Número de profesionales de la educación que han accedido al menos a un proceso de formación permanente para el fortalecimiento competencial dentro del Plan Nacional de Formación Permanente</t>
  </si>
  <si>
    <t>Mensual</t>
  </si>
  <si>
    <t>Dirección de Infraestructura Educativa</t>
  </si>
  <si>
    <t>Número de intervenciones en Instituciones Educativas</t>
  </si>
  <si>
    <t xml:space="preserve">Dirección de Gestión Académica de Tercer y Cuarto Nivel </t>
  </si>
  <si>
    <t>Porcentaje de solicitudes de Registro y/o modificación de oferta académica en el Sistema Nacional de la Información de la Educación Superior</t>
  </si>
  <si>
    <t>Porcentaje</t>
  </si>
  <si>
    <t>Dirección de Recreación</t>
  </si>
  <si>
    <t>Atender a los beneficiarios de los servicios ‘Encuentro Recreativo – Actívate’ y ‘Vamos a la Cancha’, con el fin de promover la práctica regular de la actividad física en población a nivel nacional</t>
  </si>
  <si>
    <t>Dirección de Memoria Social</t>
  </si>
  <si>
    <t>Número de visitas a espacios culturales dependientes del Ministerio de Educación, Deporte y Cultura</t>
  </si>
  <si>
    <t xml:space="preserve">KPI´s Institucionales </t>
  </si>
  <si>
    <t>TIPO INDICADOR</t>
  </si>
  <si>
    <t>NOMBRE DEL INDICADOR</t>
  </si>
  <si>
    <t>VICEMINISTERIO</t>
  </si>
  <si>
    <t>ENCARGADO</t>
  </si>
  <si>
    <t>Definición</t>
  </si>
  <si>
    <t>Unidad de medida</t>
  </si>
  <si>
    <t>Fuente de datos</t>
  </si>
  <si>
    <t>Periodicidad</t>
  </si>
  <si>
    <t>Año</t>
  </si>
  <si>
    <t>Línea base</t>
  </si>
  <si>
    <t>Meta</t>
  </si>
  <si>
    <t>Estimador</t>
  </si>
  <si>
    <t>Numerador</t>
  </si>
  <si>
    <t>Denominador</t>
  </si>
  <si>
    <t>Alerta</t>
  </si>
  <si>
    <t>Observación</t>
  </si>
  <si>
    <t>Viceministerio de Educación</t>
  </si>
  <si>
    <t xml:space="preserve">Número </t>
  </si>
  <si>
    <t>Registros administrativos del Sistema de Formación 
Permanente de la Dirección de Formación Continua. 
(Plataforma del Centro de Formación Digital 
Mecapacito y resultados de programas formativos 
con organismos e instituciones cooperantes 
nacionales e internacionales).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</si>
  <si>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</si>
  <si>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</si>
  <si>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</si>
  <si>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</si>
  <si>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</si>
  <si>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</si>
  <si>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</si>
  <si>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</si>
  <si>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</si>
  <si>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</si>
  <si>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</si>
  <si>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</si>
  <si>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</si>
  <si>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Viceministro de Gestión Educativa</t>
  </si>
  <si>
    <t>Número de intervenciones de mantenimiento y/o construcción de obra 
nueva en Instituciones Educativas, con acta de entrega recepción 
provisional suscritas en el mes de análisis.</t>
  </si>
  <si>
    <t>Registros Administrativos del MINEDEC, datos 
obtenidos del Sistema de Seguimiento de Procesos 
de Obras de la Dirección Nacional de 
infraestructura Física</t>
  </si>
  <si>
    <t>Viceministro de Educación Superior</t>
  </si>
  <si>
    <t xml:space="preserve"> Sistema Nacional de la Información de la 
Educación Superior.</t>
  </si>
  <si>
    <t>Viceministro de Deporte</t>
  </si>
  <si>
    <t>Mide el número de beneficiarios permanentes registrados en los 
servicios "Actívate" y "Vamos a la Cancha" durante un período 
determinado, permitiendo cuantificar la cobertura de estos servicios. Su 
alcance comprende a todos los beneficiarios permanentes registrados en 
ambos servicios a nivel nacional.</t>
  </si>
  <si>
    <t>Registros Administrativos de la Dirección de 
Recreación</t>
  </si>
  <si>
    <t>Viceministro de Cultura</t>
  </si>
  <si>
    <t>Mide el número de profesionales de la educación que han participado al 
menos una vez en procesos de formación permanente orientados al 
fortalecimiento de competencias priori</t>
  </si>
  <si>
    <t>Fecha de Transferencia</t>
  </si>
  <si>
    <t>Fórmula de calculo</t>
  </si>
  <si>
    <t>Fecha de corte</t>
  </si>
  <si>
    <t>\textbf{Fórmula:}
$$
NI_{IEs}
=
\sum IM_{IEs}
+
\sum ICON_{IEs}
$$
\textbf{Donde:}
$NI_{IEs}$: Número de intervenciones en Instituciones Educativas.
$\sum IM_{IEs}$: Sumatoria de intervenciones de mantenimiento, con acta de entrega-recepción provisional suscrita en el período $t$ de análisis.
$\sum ICON_{IEs}$: Sumatoria de construcciones de obra nueva en Instituciones Educativas, con acta de entrega-recepción provisional suscrita en el período $t$ de análisis.</t>
  </si>
  <si>
    <t xml:space="preserve">15 días del mes siguiente al mes analizado. </t>
  </si>
  <si>
    <t>\textbf{Fórmula:}
$$
NPFP = R_t + RU_{\text{previos},t}
$$
\textbf{Donde:}
$NPFP$: Número de profesionales de la educación que han accedido al menos a un proceso de formación permanente para el fortalecimiento competencial dentro del Plan Nacional de Formación Permanente.
$R_t$: Número de profesionales de la educación que acceden por primera vez a procesos de formación permanente en el mes de corte $t$, y que no hayan participado en meses previos dentro del mismo año de reporte.
$RU_{\text{previos},t}$: Número acumulado de profesionales de la educación únicos que han accedido al menos a un proceso de formación permanente en los meses anteriores al reporte del mes $t$.</t>
  </si>
  <si>
    <t>03 de cada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</si>
</sst>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0"/>
      <color rgb="FF000000"/>
      <name val="Arial"/>
      <family val="2"/>
    </font>
    <font>
      <sz val="10"/>
      <color rgb="FF4472C4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3" fillId="0" borderId="0" xfId="0" applyFont="1"/>
    <xf numFmtId="3" fontId="4" fillId="0" borderId="1" xfId="0" applyNumberFormat="1" applyFont="1" applyBorder="1" applyAlignment="1">
      <alignment vertical="center"/>
    </xf>
    <xf numFmtId="3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2" fontId="5" fillId="3" borderId="1" xfId="0" applyNumberFormat="1" applyFont="1" applyFill="1" applyBorder="1" applyAlignment="1">
      <alignment vertical="center"/>
    </xf>
    <xf numFmtId="2" fontId="0" fillId="0" borderId="0" xfId="0" applyNumberFormat="1"/>
    <xf numFmtId="0" fontId="1" fillId="2" borderId="2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3942-3050-4C04-8E8E-E2AF983A6F02}">
  <sheetPr filterMode="1"/>
  <dimension ref="A1:T74"/>
  <sheetViews>
    <sheetView tabSelected="1" workbookViewId="0">
      <selection activeCell="C38" sqref="C38"/>
    </sheetView>
  </sheetViews>
  <sheetFormatPr baseColWidth="10" defaultRowHeight="15" x14ac:dyDescent="0.25"/>
  <cols>
    <col min="1" max="1" width="20.140625" bestFit="1" customWidth="1"/>
    <col min="2" max="2" width="51.28515625" bestFit="1" customWidth="1"/>
    <col min="3" max="3" width="45" customWidth="1"/>
    <col min="4" max="4" width="51.28515625" bestFit="1" customWidth="1"/>
    <col min="5" max="5" width="10.42578125" bestFit="1" customWidth="1"/>
    <col min="6" max="6" width="17.28515625" bestFit="1" customWidth="1"/>
    <col min="7" max="7" width="66.7109375" customWidth="1"/>
    <col min="8" max="8" width="12.28515625" bestFit="1" customWidth="1"/>
    <col min="9" max="9" width="12.28515625" customWidth="1"/>
    <col min="10" max="10" width="10" bestFit="1" customWidth="1"/>
    <col min="11" max="11" width="10" customWidth="1"/>
    <col min="12" max="13" width="10.5703125" bestFit="1" customWidth="1"/>
    <col min="14" max="14" width="10.140625" bestFit="1" customWidth="1"/>
    <col min="15" max="15" width="11.140625" bestFit="1" customWidth="1"/>
    <col min="16" max="16" width="13.28515625" bestFit="1" customWidth="1"/>
    <col min="17" max="17" width="6.28515625" bestFit="1" customWidth="1"/>
    <col min="18" max="18" width="12.28515625" bestFit="1" customWidth="1"/>
  </cols>
  <sheetData>
    <row r="1" spans="1:20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55</v>
      </c>
      <c r="J1" s="1" t="s">
        <v>21</v>
      </c>
      <c r="K1" s="1" t="s">
        <v>44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2" t="s">
        <v>56</v>
      </c>
      <c r="T1" s="12" t="s">
        <v>57</v>
      </c>
    </row>
    <row r="2" spans="1:20" ht="409.5" hidden="1" x14ac:dyDescent="0.25">
      <c r="A2" t="s">
        <v>12</v>
      </c>
      <c r="B2" t="s">
        <v>1</v>
      </c>
      <c r="C2" t="s">
        <v>29</v>
      </c>
      <c r="D2" t="s">
        <v>0</v>
      </c>
      <c r="E2" s="2" t="s">
        <v>54</v>
      </c>
      <c r="F2" t="s">
        <v>30</v>
      </c>
      <c r="G2" s="2" t="s">
        <v>31</v>
      </c>
      <c r="H2" t="s">
        <v>2</v>
      </c>
      <c r="I2" t="s">
        <v>61</v>
      </c>
      <c r="J2">
        <v>2025</v>
      </c>
      <c r="K2" t="s">
        <v>43</v>
      </c>
      <c r="L2" s="3">
        <v>20227</v>
      </c>
      <c r="Q2" t="str">
        <f>IF(N2="","",IF(N2&gt;M2,"Cumplimiento sobre la meta",IF(M2=N2,"Cumpliento igual a la meta",IF(N2&lt;M2,"Incumplimiento de meta"))))</f>
        <v/>
      </c>
      <c r="S2" s="2" t="s">
        <v>60</v>
      </c>
    </row>
    <row r="3" spans="1:20" ht="409.5" hidden="1" x14ac:dyDescent="0.25">
      <c r="A3" t="s">
        <v>12</v>
      </c>
      <c r="B3" t="s">
        <v>1</v>
      </c>
      <c r="C3" t="s">
        <v>29</v>
      </c>
      <c r="D3" t="s">
        <v>3</v>
      </c>
      <c r="E3" s="2" t="s">
        <v>54</v>
      </c>
      <c r="F3" t="s">
        <v>30</v>
      </c>
      <c r="G3" s="2" t="s">
        <v>31</v>
      </c>
      <c r="H3" t="s">
        <v>2</v>
      </c>
      <c r="I3" t="s">
        <v>61</v>
      </c>
      <c r="J3">
        <v>2026</v>
      </c>
      <c r="K3" t="s">
        <v>32</v>
      </c>
      <c r="M3" s="4">
        <v>10000</v>
      </c>
      <c r="N3" s="5">
        <v>12373</v>
      </c>
      <c r="Q3" t="str">
        <f>IF(N3="","",IF(N3&gt;M3,"Cumplimiento sobre la meta",IF(M3=N3,"Cumpliento igual a la meta",IF(N3&lt;M3,"Incumplimiento de meta"))))</f>
        <v>Cumplimiento sobre la meta</v>
      </c>
      <c r="S3" s="2" t="s">
        <v>60</v>
      </c>
    </row>
    <row r="4" spans="1:20" ht="409.5" hidden="1" x14ac:dyDescent="0.25">
      <c r="A4" t="s">
        <v>12</v>
      </c>
      <c r="B4" t="s">
        <v>1</v>
      </c>
      <c r="C4" t="s">
        <v>29</v>
      </c>
      <c r="D4" t="s">
        <v>3</v>
      </c>
      <c r="E4" s="2" t="s">
        <v>54</v>
      </c>
      <c r="F4" t="s">
        <v>30</v>
      </c>
      <c r="G4" s="2" t="s">
        <v>31</v>
      </c>
      <c r="H4" t="s">
        <v>2</v>
      </c>
      <c r="I4" t="s">
        <v>61</v>
      </c>
      <c r="J4">
        <v>2026</v>
      </c>
      <c r="K4" t="s">
        <v>33</v>
      </c>
      <c r="M4" s="4">
        <v>20045</v>
      </c>
      <c r="N4" s="5">
        <v>39913</v>
      </c>
      <c r="Q4" t="str">
        <f t="shared" ref="Q4:Q66" si="0">IF(N4="","",IF(N4&gt;M4,"Cumplimiento sobre la meta",IF(M4=N4,"Cumpliento igual a la meta",IF(N4&lt;M4,"Incumplimiento de meta"))))</f>
        <v>Cumplimiento sobre la meta</v>
      </c>
      <c r="S4" s="2" t="s">
        <v>60</v>
      </c>
    </row>
    <row r="5" spans="1:20" ht="409.5" hidden="1" x14ac:dyDescent="0.25">
      <c r="A5" t="s">
        <v>12</v>
      </c>
      <c r="B5" t="s">
        <v>1</v>
      </c>
      <c r="C5" t="s">
        <v>29</v>
      </c>
      <c r="D5" t="s">
        <v>3</v>
      </c>
      <c r="E5" s="2" t="s">
        <v>54</v>
      </c>
      <c r="F5" t="s">
        <v>30</v>
      </c>
      <c r="G5" s="2" t="s">
        <v>31</v>
      </c>
      <c r="H5" t="s">
        <v>2</v>
      </c>
      <c r="I5" t="s">
        <v>61</v>
      </c>
      <c r="J5">
        <v>2026</v>
      </c>
      <c r="K5" t="s">
        <v>34</v>
      </c>
      <c r="M5" s="4">
        <v>30135</v>
      </c>
      <c r="N5" s="6">
        <v>69974</v>
      </c>
      <c r="Q5" t="str">
        <f t="shared" si="0"/>
        <v>Cumplimiento sobre la meta</v>
      </c>
      <c r="S5" s="2" t="s">
        <v>60</v>
      </c>
    </row>
    <row r="6" spans="1:20" ht="409.5" hidden="1" x14ac:dyDescent="0.25">
      <c r="A6" t="s">
        <v>12</v>
      </c>
      <c r="B6" t="s">
        <v>1</v>
      </c>
      <c r="C6" t="s">
        <v>29</v>
      </c>
      <c r="D6" t="s">
        <v>3</v>
      </c>
      <c r="E6" s="2" t="s">
        <v>54</v>
      </c>
      <c r="F6" t="s">
        <v>30</v>
      </c>
      <c r="G6" s="2" t="s">
        <v>31</v>
      </c>
      <c r="H6" t="s">
        <v>2</v>
      </c>
      <c r="I6" t="s">
        <v>61</v>
      </c>
      <c r="J6">
        <v>2026</v>
      </c>
      <c r="K6" t="s">
        <v>35</v>
      </c>
      <c r="M6" s="7">
        <v>40271</v>
      </c>
      <c r="N6" s="5">
        <v>71186</v>
      </c>
      <c r="Q6" t="str">
        <f t="shared" si="0"/>
        <v>Cumplimiento sobre la meta</v>
      </c>
      <c r="S6" s="2" t="s">
        <v>60</v>
      </c>
    </row>
    <row r="7" spans="1:20" ht="409.5" hidden="1" x14ac:dyDescent="0.25">
      <c r="A7" t="s">
        <v>12</v>
      </c>
      <c r="B7" t="s">
        <v>1</v>
      </c>
      <c r="C7" t="s">
        <v>29</v>
      </c>
      <c r="D7" t="s">
        <v>3</v>
      </c>
      <c r="E7" s="2" t="s">
        <v>54</v>
      </c>
      <c r="F7" t="s">
        <v>30</v>
      </c>
      <c r="G7" s="2" t="s">
        <v>31</v>
      </c>
      <c r="H7" t="s">
        <v>2</v>
      </c>
      <c r="I7" t="s">
        <v>61</v>
      </c>
      <c r="J7">
        <v>2026</v>
      </c>
      <c r="K7" t="s">
        <v>36</v>
      </c>
      <c r="M7" s="7">
        <v>50452</v>
      </c>
      <c r="N7" s="6">
        <v>80355</v>
      </c>
      <c r="Q7" t="str">
        <f t="shared" si="0"/>
        <v>Cumplimiento sobre la meta</v>
      </c>
      <c r="S7" s="2" t="s">
        <v>60</v>
      </c>
    </row>
    <row r="8" spans="1:20" ht="409.5" hidden="1" x14ac:dyDescent="0.25">
      <c r="A8" t="s">
        <v>12</v>
      </c>
      <c r="B8" t="s">
        <v>1</v>
      </c>
      <c r="C8" t="s">
        <v>29</v>
      </c>
      <c r="D8" t="s">
        <v>3</v>
      </c>
      <c r="E8" s="2" t="s">
        <v>54</v>
      </c>
      <c r="F8" t="s">
        <v>30</v>
      </c>
      <c r="G8" s="2" t="s">
        <v>31</v>
      </c>
      <c r="H8" t="s">
        <v>2</v>
      </c>
      <c r="I8" t="s">
        <v>61</v>
      </c>
      <c r="J8">
        <v>2026</v>
      </c>
      <c r="K8" t="s">
        <v>37</v>
      </c>
      <c r="M8" s="7">
        <v>60679</v>
      </c>
      <c r="N8" s="6">
        <v>86355</v>
      </c>
      <c r="Q8" t="str">
        <f t="shared" si="0"/>
        <v>Cumplimiento sobre la meta</v>
      </c>
      <c r="S8" s="2" t="s">
        <v>60</v>
      </c>
    </row>
    <row r="9" spans="1:20" ht="409.5" hidden="1" x14ac:dyDescent="0.25">
      <c r="A9" t="s">
        <v>12</v>
      </c>
      <c r="B9" t="s">
        <v>1</v>
      </c>
      <c r="C9" t="s">
        <v>29</v>
      </c>
      <c r="D9" t="s">
        <v>3</v>
      </c>
      <c r="E9" s="2" t="s">
        <v>54</v>
      </c>
      <c r="F9" t="s">
        <v>30</v>
      </c>
      <c r="G9" s="2" t="s">
        <v>31</v>
      </c>
      <c r="H9" t="s">
        <v>2</v>
      </c>
      <c r="I9" t="s">
        <v>61</v>
      </c>
      <c r="J9">
        <v>2026</v>
      </c>
      <c r="K9" t="s">
        <v>38</v>
      </c>
      <c r="M9" s="7">
        <v>70952</v>
      </c>
      <c r="N9" s="5">
        <v>98859</v>
      </c>
      <c r="Q9" t="str">
        <f t="shared" si="0"/>
        <v>Cumplimiento sobre la meta</v>
      </c>
      <c r="S9" s="2" t="s">
        <v>60</v>
      </c>
    </row>
    <row r="10" spans="1:20" ht="409.5" hidden="1" x14ac:dyDescent="0.25">
      <c r="A10" t="s">
        <v>12</v>
      </c>
      <c r="B10" t="s">
        <v>1</v>
      </c>
      <c r="C10" t="s">
        <v>29</v>
      </c>
      <c r="D10" t="s">
        <v>3</v>
      </c>
      <c r="E10" s="2" t="s">
        <v>54</v>
      </c>
      <c r="F10" t="s">
        <v>30</v>
      </c>
      <c r="G10" s="2" t="s">
        <v>31</v>
      </c>
      <c r="H10" t="s">
        <v>2</v>
      </c>
      <c r="I10" t="s">
        <v>61</v>
      </c>
      <c r="J10">
        <v>2026</v>
      </c>
      <c r="K10" t="s">
        <v>39</v>
      </c>
      <c r="M10" s="7">
        <v>81271</v>
      </c>
      <c r="N10" s="5">
        <v>139745</v>
      </c>
      <c r="Q10" t="str">
        <f t="shared" si="0"/>
        <v>Cumplimiento sobre la meta</v>
      </c>
      <c r="S10" s="2" t="s">
        <v>60</v>
      </c>
    </row>
    <row r="11" spans="1:20" ht="409.5" hidden="1" x14ac:dyDescent="0.25">
      <c r="A11" t="s">
        <v>12</v>
      </c>
      <c r="B11" t="s">
        <v>1</v>
      </c>
      <c r="C11" t="s">
        <v>29</v>
      </c>
      <c r="D11" t="s">
        <v>3</v>
      </c>
      <c r="E11" s="2" t="s">
        <v>54</v>
      </c>
      <c r="F11" t="s">
        <v>30</v>
      </c>
      <c r="G11" s="2" t="s">
        <v>31</v>
      </c>
      <c r="H11" t="s">
        <v>2</v>
      </c>
      <c r="I11" t="s">
        <v>61</v>
      </c>
      <c r="J11">
        <v>2026</v>
      </c>
      <c r="K11" t="s">
        <v>40</v>
      </c>
      <c r="M11" s="7">
        <v>91637</v>
      </c>
      <c r="Q11" t="str">
        <f t="shared" si="0"/>
        <v/>
      </c>
      <c r="S11" s="2" t="s">
        <v>60</v>
      </c>
    </row>
    <row r="12" spans="1:20" ht="409.5" hidden="1" x14ac:dyDescent="0.25">
      <c r="A12" t="s">
        <v>12</v>
      </c>
      <c r="B12" t="s">
        <v>1</v>
      </c>
      <c r="C12" t="s">
        <v>29</v>
      </c>
      <c r="D12" t="s">
        <v>3</v>
      </c>
      <c r="E12" s="2" t="s">
        <v>54</v>
      </c>
      <c r="F12" t="s">
        <v>30</v>
      </c>
      <c r="G12" s="2" t="s">
        <v>31</v>
      </c>
      <c r="H12" t="s">
        <v>2</v>
      </c>
      <c r="I12" t="s">
        <v>61</v>
      </c>
      <c r="J12">
        <v>2026</v>
      </c>
      <c r="K12" t="s">
        <v>41</v>
      </c>
      <c r="M12" s="7">
        <v>102049</v>
      </c>
      <c r="Q12" t="str">
        <f t="shared" si="0"/>
        <v/>
      </c>
      <c r="S12" s="2" t="s">
        <v>60</v>
      </c>
    </row>
    <row r="13" spans="1:20" ht="409.5" hidden="1" x14ac:dyDescent="0.25">
      <c r="A13" t="s">
        <v>12</v>
      </c>
      <c r="B13" t="s">
        <v>1</v>
      </c>
      <c r="C13" t="s">
        <v>29</v>
      </c>
      <c r="D13" t="s">
        <v>3</v>
      </c>
      <c r="E13" s="2" t="s">
        <v>54</v>
      </c>
      <c r="F13" t="s">
        <v>30</v>
      </c>
      <c r="G13" s="2" t="s">
        <v>31</v>
      </c>
      <c r="H13" t="s">
        <v>2</v>
      </c>
      <c r="I13" t="s">
        <v>61</v>
      </c>
      <c r="J13">
        <v>2026</v>
      </c>
      <c r="K13" t="s">
        <v>42</v>
      </c>
      <c r="M13" s="7">
        <v>112509</v>
      </c>
      <c r="Q13" t="str">
        <f t="shared" si="0"/>
        <v/>
      </c>
      <c r="S13" s="2" t="s">
        <v>60</v>
      </c>
    </row>
    <row r="14" spans="1:20" ht="409.5" hidden="1" x14ac:dyDescent="0.25">
      <c r="A14" t="s">
        <v>12</v>
      </c>
      <c r="B14" t="s">
        <v>1</v>
      </c>
      <c r="C14" t="s">
        <v>29</v>
      </c>
      <c r="D14" t="s">
        <v>3</v>
      </c>
      <c r="E14" s="2" t="s">
        <v>54</v>
      </c>
      <c r="F14" t="s">
        <v>30</v>
      </c>
      <c r="G14" s="2" t="s">
        <v>31</v>
      </c>
      <c r="H14" t="s">
        <v>2</v>
      </c>
      <c r="I14" t="s">
        <v>61</v>
      </c>
      <c r="J14">
        <v>2026</v>
      </c>
      <c r="K14" t="s">
        <v>43</v>
      </c>
      <c r="M14" s="7">
        <v>123015</v>
      </c>
      <c r="Q14" t="str">
        <f t="shared" si="0"/>
        <v/>
      </c>
      <c r="S14" s="2" t="s">
        <v>60</v>
      </c>
    </row>
    <row r="15" spans="1:20" ht="409.5" hidden="1" x14ac:dyDescent="0.25">
      <c r="A15" t="s">
        <v>12</v>
      </c>
      <c r="B15" t="s">
        <v>4</v>
      </c>
      <c r="C15" s="3" t="s">
        <v>45</v>
      </c>
      <c r="D15" t="s">
        <v>3</v>
      </c>
      <c r="E15" s="2" t="s">
        <v>46</v>
      </c>
      <c r="F15" t="s">
        <v>30</v>
      </c>
      <c r="G15" s="2" t="s">
        <v>47</v>
      </c>
      <c r="H15" t="s">
        <v>2</v>
      </c>
      <c r="I15" s="2" t="s">
        <v>59</v>
      </c>
      <c r="J15">
        <v>2025</v>
      </c>
      <c r="K15" t="s">
        <v>43</v>
      </c>
      <c r="L15">
        <v>325</v>
      </c>
      <c r="Q15" t="str">
        <f t="shared" si="0"/>
        <v/>
      </c>
      <c r="S15" s="2" t="s">
        <v>58</v>
      </c>
    </row>
    <row r="16" spans="1:20" ht="409.5" hidden="1" x14ac:dyDescent="0.25">
      <c r="A16" t="s">
        <v>12</v>
      </c>
      <c r="B16" t="s">
        <v>4</v>
      </c>
      <c r="C16" s="3" t="s">
        <v>45</v>
      </c>
      <c r="D16" t="s">
        <v>3</v>
      </c>
      <c r="E16" s="2" t="s">
        <v>46</v>
      </c>
      <c r="F16" t="s">
        <v>30</v>
      </c>
      <c r="G16" s="2" t="s">
        <v>47</v>
      </c>
      <c r="H16" t="s">
        <v>2</v>
      </c>
      <c r="I16" s="2" t="s">
        <v>59</v>
      </c>
      <c r="J16">
        <v>2026</v>
      </c>
      <c r="K16" t="s">
        <v>32</v>
      </c>
      <c r="M16" s="8">
        <v>1</v>
      </c>
      <c r="N16" s="6">
        <v>4</v>
      </c>
      <c r="Q16" t="str">
        <f t="shared" si="0"/>
        <v>Cumplimiento sobre la meta</v>
      </c>
      <c r="S16" s="2" t="s">
        <v>58</v>
      </c>
    </row>
    <row r="17" spans="1:19" ht="409.5" hidden="1" x14ac:dyDescent="0.25">
      <c r="A17" t="s">
        <v>12</v>
      </c>
      <c r="B17" t="s">
        <v>4</v>
      </c>
      <c r="C17" s="3" t="s">
        <v>45</v>
      </c>
      <c r="D17" t="s">
        <v>3</v>
      </c>
      <c r="E17" s="2" t="s">
        <v>46</v>
      </c>
      <c r="F17" t="s">
        <v>30</v>
      </c>
      <c r="G17" s="2" t="s">
        <v>47</v>
      </c>
      <c r="H17" t="s">
        <v>2</v>
      </c>
      <c r="I17" s="2" t="s">
        <v>59</v>
      </c>
      <c r="J17">
        <v>2026</v>
      </c>
      <c r="K17" t="s">
        <v>33</v>
      </c>
      <c r="M17" s="8">
        <v>5</v>
      </c>
      <c r="N17" s="6">
        <v>6</v>
      </c>
      <c r="Q17" t="str">
        <f t="shared" si="0"/>
        <v>Cumplimiento sobre la meta</v>
      </c>
      <c r="S17" s="2" t="s">
        <v>58</v>
      </c>
    </row>
    <row r="18" spans="1:19" ht="409.5" hidden="1" x14ac:dyDescent="0.25">
      <c r="A18" t="s">
        <v>12</v>
      </c>
      <c r="B18" t="s">
        <v>4</v>
      </c>
      <c r="C18" s="3" t="s">
        <v>45</v>
      </c>
      <c r="D18" t="s">
        <v>3</v>
      </c>
      <c r="E18" s="2" t="s">
        <v>46</v>
      </c>
      <c r="F18" t="s">
        <v>30</v>
      </c>
      <c r="G18" s="2" t="s">
        <v>47</v>
      </c>
      <c r="H18" t="s">
        <v>2</v>
      </c>
      <c r="I18" s="2" t="s">
        <v>59</v>
      </c>
      <c r="J18">
        <v>2026</v>
      </c>
      <c r="K18" t="s">
        <v>34</v>
      </c>
      <c r="M18" s="8">
        <v>10</v>
      </c>
      <c r="N18" s="6">
        <v>33</v>
      </c>
      <c r="Q18" t="str">
        <f t="shared" si="0"/>
        <v>Cumplimiento sobre la meta</v>
      </c>
      <c r="S18" s="2" t="s">
        <v>58</v>
      </c>
    </row>
    <row r="19" spans="1:19" ht="409.5" hidden="1" x14ac:dyDescent="0.25">
      <c r="A19" t="s">
        <v>12</v>
      </c>
      <c r="B19" t="s">
        <v>4</v>
      </c>
      <c r="C19" s="3" t="s">
        <v>45</v>
      </c>
      <c r="D19" t="s">
        <v>3</v>
      </c>
      <c r="E19" s="2" t="s">
        <v>46</v>
      </c>
      <c r="F19" t="s">
        <v>30</v>
      </c>
      <c r="G19" s="2" t="s">
        <v>47</v>
      </c>
      <c r="H19" t="s">
        <v>2</v>
      </c>
      <c r="I19" s="2" t="s">
        <v>59</v>
      </c>
      <c r="J19">
        <v>2026</v>
      </c>
      <c r="K19" t="s">
        <v>35</v>
      </c>
      <c r="M19" s="8">
        <v>13</v>
      </c>
      <c r="N19" s="6">
        <v>36</v>
      </c>
      <c r="Q19" t="str">
        <f t="shared" si="0"/>
        <v>Cumplimiento sobre la meta</v>
      </c>
      <c r="S19" s="2" t="s">
        <v>58</v>
      </c>
    </row>
    <row r="20" spans="1:19" ht="409.5" hidden="1" x14ac:dyDescent="0.25">
      <c r="A20" t="s">
        <v>12</v>
      </c>
      <c r="B20" t="s">
        <v>4</v>
      </c>
      <c r="C20" s="3" t="s">
        <v>45</v>
      </c>
      <c r="D20" t="s">
        <v>3</v>
      </c>
      <c r="E20" s="2" t="s">
        <v>46</v>
      </c>
      <c r="F20" t="s">
        <v>30</v>
      </c>
      <c r="G20" s="2" t="s">
        <v>47</v>
      </c>
      <c r="H20" t="s">
        <v>2</v>
      </c>
      <c r="I20" s="2" t="s">
        <v>59</v>
      </c>
      <c r="J20">
        <v>2026</v>
      </c>
      <c r="K20" t="s">
        <v>36</v>
      </c>
      <c r="M20" s="8">
        <v>15</v>
      </c>
      <c r="N20" s="6">
        <v>24</v>
      </c>
      <c r="Q20" t="str">
        <f t="shared" si="0"/>
        <v>Cumplimiento sobre la meta</v>
      </c>
      <c r="S20" s="2" t="s">
        <v>58</v>
      </c>
    </row>
    <row r="21" spans="1:19" ht="409.5" hidden="1" x14ac:dyDescent="0.25">
      <c r="A21" t="s">
        <v>12</v>
      </c>
      <c r="B21" t="s">
        <v>4</v>
      </c>
      <c r="C21" s="3" t="s">
        <v>45</v>
      </c>
      <c r="D21" t="s">
        <v>3</v>
      </c>
      <c r="E21" s="2" t="s">
        <v>46</v>
      </c>
      <c r="F21" t="s">
        <v>30</v>
      </c>
      <c r="G21" s="2" t="s">
        <v>47</v>
      </c>
      <c r="H21" t="s">
        <v>2</v>
      </c>
      <c r="I21" s="2" t="s">
        <v>59</v>
      </c>
      <c r="J21">
        <v>2026</v>
      </c>
      <c r="K21" t="s">
        <v>37</v>
      </c>
      <c r="M21" s="8">
        <v>20</v>
      </c>
      <c r="N21" s="6">
        <v>36</v>
      </c>
      <c r="Q21" t="str">
        <f t="shared" si="0"/>
        <v>Cumplimiento sobre la meta</v>
      </c>
      <c r="S21" s="2" t="s">
        <v>58</v>
      </c>
    </row>
    <row r="22" spans="1:19" ht="409.5" hidden="1" x14ac:dyDescent="0.25">
      <c r="A22" t="s">
        <v>12</v>
      </c>
      <c r="B22" t="s">
        <v>4</v>
      </c>
      <c r="C22" s="3" t="s">
        <v>45</v>
      </c>
      <c r="D22" t="s">
        <v>3</v>
      </c>
      <c r="E22" s="2" t="s">
        <v>46</v>
      </c>
      <c r="F22" t="s">
        <v>30</v>
      </c>
      <c r="G22" s="2" t="s">
        <v>47</v>
      </c>
      <c r="H22" t="s">
        <v>2</v>
      </c>
      <c r="I22" s="2" t="s">
        <v>59</v>
      </c>
      <c r="J22">
        <v>2026</v>
      </c>
      <c r="K22" t="s">
        <v>38</v>
      </c>
      <c r="M22" s="8">
        <v>25</v>
      </c>
      <c r="N22" s="6">
        <v>27</v>
      </c>
      <c r="Q22" t="str">
        <f t="shared" si="0"/>
        <v>Cumplimiento sobre la meta</v>
      </c>
      <c r="S22" s="2" t="s">
        <v>58</v>
      </c>
    </row>
    <row r="23" spans="1:19" ht="409.5" hidden="1" x14ac:dyDescent="0.25">
      <c r="A23" t="s">
        <v>12</v>
      </c>
      <c r="B23" t="s">
        <v>4</v>
      </c>
      <c r="C23" s="3" t="s">
        <v>45</v>
      </c>
      <c r="D23" t="s">
        <v>3</v>
      </c>
      <c r="E23" s="2" t="s">
        <v>46</v>
      </c>
      <c r="F23" t="s">
        <v>30</v>
      </c>
      <c r="G23" s="2" t="s">
        <v>47</v>
      </c>
      <c r="H23" t="s">
        <v>2</v>
      </c>
      <c r="I23" s="2" t="s">
        <v>59</v>
      </c>
      <c r="J23">
        <v>2026</v>
      </c>
      <c r="K23" t="s">
        <v>39</v>
      </c>
      <c r="M23" s="8">
        <v>35</v>
      </c>
      <c r="N23" s="6">
        <v>37</v>
      </c>
      <c r="Q23" t="str">
        <f t="shared" si="0"/>
        <v>Cumplimiento sobre la meta</v>
      </c>
      <c r="S23" s="2" t="s">
        <v>58</v>
      </c>
    </row>
    <row r="24" spans="1:19" ht="409.5" hidden="1" x14ac:dyDescent="0.25">
      <c r="A24" t="s">
        <v>12</v>
      </c>
      <c r="B24" t="s">
        <v>4</v>
      </c>
      <c r="C24" s="3" t="s">
        <v>45</v>
      </c>
      <c r="D24" t="s">
        <v>3</v>
      </c>
      <c r="E24" s="2" t="s">
        <v>46</v>
      </c>
      <c r="F24" t="s">
        <v>30</v>
      </c>
      <c r="G24" s="2" t="s">
        <v>47</v>
      </c>
      <c r="H24" t="s">
        <v>2</v>
      </c>
      <c r="I24" s="2" t="s">
        <v>59</v>
      </c>
      <c r="J24">
        <v>2026</v>
      </c>
      <c r="K24" t="s">
        <v>40</v>
      </c>
      <c r="M24" s="8">
        <v>40</v>
      </c>
      <c r="Q24" t="str">
        <f t="shared" si="0"/>
        <v/>
      </c>
      <c r="S24" s="2" t="s">
        <v>58</v>
      </c>
    </row>
    <row r="25" spans="1:19" ht="409.5" hidden="1" x14ac:dyDescent="0.25">
      <c r="A25" t="s">
        <v>12</v>
      </c>
      <c r="B25" t="s">
        <v>4</v>
      </c>
      <c r="C25" s="3" t="s">
        <v>45</v>
      </c>
      <c r="D25" t="s">
        <v>3</v>
      </c>
      <c r="E25" s="2" t="s">
        <v>46</v>
      </c>
      <c r="F25" t="s">
        <v>30</v>
      </c>
      <c r="G25" s="2" t="s">
        <v>47</v>
      </c>
      <c r="H25" t="s">
        <v>2</v>
      </c>
      <c r="I25" s="2" t="s">
        <v>59</v>
      </c>
      <c r="J25">
        <v>2026</v>
      </c>
      <c r="K25" t="s">
        <v>41</v>
      </c>
      <c r="M25" s="8">
        <v>45</v>
      </c>
      <c r="Q25" t="str">
        <f t="shared" si="0"/>
        <v/>
      </c>
      <c r="S25" s="2" t="s">
        <v>58</v>
      </c>
    </row>
    <row r="26" spans="1:19" ht="409.5" hidden="1" x14ac:dyDescent="0.25">
      <c r="A26" t="s">
        <v>12</v>
      </c>
      <c r="B26" t="s">
        <v>4</v>
      </c>
      <c r="C26" s="3" t="s">
        <v>45</v>
      </c>
      <c r="D26" t="s">
        <v>3</v>
      </c>
      <c r="E26" s="2" t="s">
        <v>46</v>
      </c>
      <c r="F26" t="s">
        <v>30</v>
      </c>
      <c r="G26" s="2" t="s">
        <v>47</v>
      </c>
      <c r="H26" t="s">
        <v>2</v>
      </c>
      <c r="I26" s="2" t="s">
        <v>59</v>
      </c>
      <c r="J26">
        <v>2026</v>
      </c>
      <c r="K26" t="s">
        <v>42</v>
      </c>
      <c r="M26" s="8">
        <v>50</v>
      </c>
      <c r="Q26" t="str">
        <f t="shared" si="0"/>
        <v/>
      </c>
      <c r="S26" s="2" t="s">
        <v>58</v>
      </c>
    </row>
    <row r="27" spans="1:19" ht="409.5" hidden="1" x14ac:dyDescent="0.25">
      <c r="A27" t="s">
        <v>12</v>
      </c>
      <c r="B27" t="s">
        <v>4</v>
      </c>
      <c r="C27" s="3" t="s">
        <v>45</v>
      </c>
      <c r="D27" t="s">
        <v>3</v>
      </c>
      <c r="E27" s="2" t="s">
        <v>46</v>
      </c>
      <c r="F27" t="s">
        <v>30</v>
      </c>
      <c r="G27" s="2" t="s">
        <v>47</v>
      </c>
      <c r="H27" t="s">
        <v>2</v>
      </c>
      <c r="I27" s="2" t="s">
        <v>59</v>
      </c>
      <c r="J27">
        <v>2026</v>
      </c>
      <c r="K27" t="s">
        <v>43</v>
      </c>
      <c r="M27" s="8">
        <v>66</v>
      </c>
      <c r="Q27" t="str">
        <f t="shared" si="0"/>
        <v/>
      </c>
      <c r="S27" s="2" t="s">
        <v>58</v>
      </c>
    </row>
    <row r="28" spans="1:19" ht="30" x14ac:dyDescent="0.25">
      <c r="A28" t="s">
        <v>12</v>
      </c>
      <c r="B28" s="13" t="s">
        <v>6</v>
      </c>
      <c r="C28" s="3" t="s">
        <v>48</v>
      </c>
      <c r="D28" t="s">
        <v>5</v>
      </c>
      <c r="F28" t="s">
        <v>7</v>
      </c>
      <c r="G28" s="2" t="s">
        <v>49</v>
      </c>
      <c r="H28" t="s">
        <v>2</v>
      </c>
      <c r="J28">
        <v>2025</v>
      </c>
      <c r="K28" t="s">
        <v>43</v>
      </c>
      <c r="L28">
        <v>0.9</v>
      </c>
      <c r="Q28" t="str">
        <f t="shared" si="0"/>
        <v/>
      </c>
    </row>
    <row r="29" spans="1:19" ht="30" x14ac:dyDescent="0.25">
      <c r="A29" t="s">
        <v>12</v>
      </c>
      <c r="B29" s="13" t="s">
        <v>6</v>
      </c>
      <c r="C29" s="3" t="s">
        <v>48</v>
      </c>
      <c r="D29" t="s">
        <v>5</v>
      </c>
      <c r="F29" t="s">
        <v>7</v>
      </c>
      <c r="G29" s="2" t="s">
        <v>49</v>
      </c>
      <c r="H29" t="s">
        <v>2</v>
      </c>
      <c r="J29">
        <v>2026</v>
      </c>
      <c r="K29" t="s">
        <v>32</v>
      </c>
      <c r="M29" s="9">
        <v>0.9</v>
      </c>
      <c r="N29" s="10">
        <v>0.9</v>
      </c>
      <c r="Q29" t="str">
        <f t="shared" si="0"/>
        <v>Cumpliento igual a la meta</v>
      </c>
    </row>
    <row r="30" spans="1:19" ht="30" x14ac:dyDescent="0.25">
      <c r="A30" t="s">
        <v>12</v>
      </c>
      <c r="B30" s="13" t="s">
        <v>6</v>
      </c>
      <c r="C30" s="3" t="s">
        <v>48</v>
      </c>
      <c r="D30" t="s">
        <v>5</v>
      </c>
      <c r="F30" t="s">
        <v>7</v>
      </c>
      <c r="G30" s="2" t="s">
        <v>49</v>
      </c>
      <c r="H30" t="s">
        <v>2</v>
      </c>
      <c r="J30">
        <v>2026</v>
      </c>
      <c r="K30" t="s">
        <v>33</v>
      </c>
      <c r="M30" s="9">
        <v>0.9</v>
      </c>
      <c r="N30" s="10">
        <v>0.9</v>
      </c>
      <c r="Q30" t="str">
        <f t="shared" si="0"/>
        <v>Cumpliento igual a la meta</v>
      </c>
    </row>
    <row r="31" spans="1:19" ht="30" x14ac:dyDescent="0.25">
      <c r="A31" t="s">
        <v>12</v>
      </c>
      <c r="B31" s="13" t="s">
        <v>6</v>
      </c>
      <c r="C31" s="3" t="s">
        <v>48</v>
      </c>
      <c r="D31" t="s">
        <v>5</v>
      </c>
      <c r="F31" t="s">
        <v>7</v>
      </c>
      <c r="G31" s="2" t="s">
        <v>49</v>
      </c>
      <c r="H31" t="s">
        <v>2</v>
      </c>
      <c r="J31">
        <v>2026</v>
      </c>
      <c r="K31" t="s">
        <v>34</v>
      </c>
      <c r="M31" s="9">
        <v>0.9</v>
      </c>
      <c r="N31" s="10">
        <v>0.9</v>
      </c>
      <c r="Q31" t="str">
        <f t="shared" si="0"/>
        <v>Cumpliento igual a la meta</v>
      </c>
    </row>
    <row r="32" spans="1:19" ht="30" x14ac:dyDescent="0.25">
      <c r="A32" t="s">
        <v>12</v>
      </c>
      <c r="B32" s="13" t="s">
        <v>6</v>
      </c>
      <c r="C32" s="3" t="s">
        <v>48</v>
      </c>
      <c r="D32" t="s">
        <v>5</v>
      </c>
      <c r="F32" t="s">
        <v>7</v>
      </c>
      <c r="G32" s="2" t="s">
        <v>49</v>
      </c>
      <c r="H32" t="s">
        <v>2</v>
      </c>
      <c r="J32">
        <v>2026</v>
      </c>
      <c r="K32" t="s">
        <v>35</v>
      </c>
      <c r="M32" s="9">
        <v>0.9</v>
      </c>
      <c r="N32" s="10">
        <v>0.9</v>
      </c>
      <c r="Q32" t="str">
        <f t="shared" si="0"/>
        <v>Cumpliento igual a la meta</v>
      </c>
    </row>
    <row r="33" spans="1:17" ht="30" x14ac:dyDescent="0.25">
      <c r="A33" t="s">
        <v>12</v>
      </c>
      <c r="B33" s="13" t="s">
        <v>6</v>
      </c>
      <c r="C33" s="3" t="s">
        <v>48</v>
      </c>
      <c r="D33" t="s">
        <v>5</v>
      </c>
      <c r="F33" t="s">
        <v>7</v>
      </c>
      <c r="G33" s="2" t="s">
        <v>49</v>
      </c>
      <c r="H33" t="s">
        <v>2</v>
      </c>
      <c r="J33">
        <v>2026</v>
      </c>
      <c r="K33" t="s">
        <v>36</v>
      </c>
      <c r="M33" s="9">
        <v>0.9</v>
      </c>
      <c r="N33" s="10">
        <v>0.9</v>
      </c>
      <c r="Q33" t="str">
        <f t="shared" si="0"/>
        <v>Cumpliento igual a la meta</v>
      </c>
    </row>
    <row r="34" spans="1:17" ht="30" x14ac:dyDescent="0.25">
      <c r="A34" t="s">
        <v>12</v>
      </c>
      <c r="B34" s="13" t="s">
        <v>6</v>
      </c>
      <c r="C34" s="3" t="s">
        <v>48</v>
      </c>
      <c r="D34" t="s">
        <v>5</v>
      </c>
      <c r="F34" t="s">
        <v>7</v>
      </c>
      <c r="G34" s="2" t="s">
        <v>49</v>
      </c>
      <c r="H34" t="s">
        <v>2</v>
      </c>
      <c r="J34">
        <v>2026</v>
      </c>
      <c r="K34" t="s">
        <v>37</v>
      </c>
      <c r="M34" s="9">
        <v>0.9</v>
      </c>
      <c r="N34" s="10">
        <v>0.9</v>
      </c>
      <c r="Q34" t="str">
        <f t="shared" si="0"/>
        <v>Cumpliento igual a la meta</v>
      </c>
    </row>
    <row r="35" spans="1:17" ht="30" x14ac:dyDescent="0.25">
      <c r="A35" t="s">
        <v>12</v>
      </c>
      <c r="B35" s="13" t="s">
        <v>6</v>
      </c>
      <c r="C35" s="3" t="s">
        <v>48</v>
      </c>
      <c r="D35" t="s">
        <v>5</v>
      </c>
      <c r="F35" t="s">
        <v>7</v>
      </c>
      <c r="G35" s="2" t="s">
        <v>49</v>
      </c>
      <c r="H35" t="s">
        <v>2</v>
      </c>
      <c r="J35">
        <v>2026</v>
      </c>
      <c r="K35" t="s">
        <v>38</v>
      </c>
      <c r="M35" s="9">
        <v>0.9</v>
      </c>
      <c r="N35" s="10">
        <v>1</v>
      </c>
      <c r="Q35" t="str">
        <f t="shared" si="0"/>
        <v>Cumplimiento sobre la meta</v>
      </c>
    </row>
    <row r="36" spans="1:17" ht="30" x14ac:dyDescent="0.25">
      <c r="A36" t="s">
        <v>12</v>
      </c>
      <c r="B36" s="13" t="s">
        <v>6</v>
      </c>
      <c r="C36" s="3" t="s">
        <v>48</v>
      </c>
      <c r="D36" t="s">
        <v>5</v>
      </c>
      <c r="F36" t="s">
        <v>7</v>
      </c>
      <c r="G36" s="2" t="s">
        <v>49</v>
      </c>
      <c r="H36" t="s">
        <v>2</v>
      </c>
      <c r="J36">
        <v>2026</v>
      </c>
      <c r="K36" t="s">
        <v>39</v>
      </c>
      <c r="M36" s="9">
        <v>0.9</v>
      </c>
      <c r="N36" s="10">
        <v>1</v>
      </c>
      <c r="Q36" t="str">
        <f t="shared" si="0"/>
        <v>Cumplimiento sobre la meta</v>
      </c>
    </row>
    <row r="37" spans="1:17" ht="30" x14ac:dyDescent="0.25">
      <c r="A37" t="s">
        <v>12</v>
      </c>
      <c r="B37" s="13" t="s">
        <v>6</v>
      </c>
      <c r="C37" s="3" t="s">
        <v>48</v>
      </c>
      <c r="D37" t="s">
        <v>5</v>
      </c>
      <c r="F37" t="s">
        <v>7</v>
      </c>
      <c r="G37" s="2" t="s">
        <v>49</v>
      </c>
      <c r="H37" t="s">
        <v>2</v>
      </c>
      <c r="J37">
        <v>2026</v>
      </c>
      <c r="K37" t="s">
        <v>40</v>
      </c>
      <c r="M37" s="9">
        <v>0.9</v>
      </c>
      <c r="N37" s="11"/>
      <c r="Q37" t="str">
        <f t="shared" si="0"/>
        <v/>
      </c>
    </row>
    <row r="38" spans="1:17" ht="30" x14ac:dyDescent="0.25">
      <c r="A38" t="s">
        <v>12</v>
      </c>
      <c r="B38" s="13" t="s">
        <v>6</v>
      </c>
      <c r="C38" s="3" t="s">
        <v>48</v>
      </c>
      <c r="D38" t="s">
        <v>5</v>
      </c>
      <c r="F38" t="s">
        <v>7</v>
      </c>
      <c r="G38" s="2" t="s">
        <v>49</v>
      </c>
      <c r="H38" t="s">
        <v>2</v>
      </c>
      <c r="J38">
        <v>2026</v>
      </c>
      <c r="K38" t="s">
        <v>41</v>
      </c>
      <c r="M38" s="9">
        <v>0.9</v>
      </c>
      <c r="N38" s="11"/>
      <c r="Q38" t="str">
        <f t="shared" si="0"/>
        <v/>
      </c>
    </row>
    <row r="39" spans="1:17" ht="30" x14ac:dyDescent="0.25">
      <c r="A39" t="s">
        <v>12</v>
      </c>
      <c r="B39" s="13" t="s">
        <v>6</v>
      </c>
      <c r="C39" s="3" t="s">
        <v>48</v>
      </c>
      <c r="D39" t="s">
        <v>5</v>
      </c>
      <c r="F39" t="s">
        <v>7</v>
      </c>
      <c r="G39" s="2" t="s">
        <v>49</v>
      </c>
      <c r="H39" t="s">
        <v>2</v>
      </c>
      <c r="J39">
        <v>2026</v>
      </c>
      <c r="K39" t="s">
        <v>42</v>
      </c>
      <c r="M39" s="9">
        <v>0.9</v>
      </c>
      <c r="N39" s="11"/>
      <c r="Q39" t="str">
        <f t="shared" si="0"/>
        <v/>
      </c>
    </row>
    <row r="40" spans="1:17" ht="30" x14ac:dyDescent="0.25">
      <c r="A40" t="s">
        <v>12</v>
      </c>
      <c r="B40" s="13" t="s">
        <v>6</v>
      </c>
      <c r="C40" s="3" t="s">
        <v>48</v>
      </c>
      <c r="D40" t="s">
        <v>5</v>
      </c>
      <c r="F40" t="s">
        <v>7</v>
      </c>
      <c r="G40" s="2" t="s">
        <v>49</v>
      </c>
      <c r="H40" t="s">
        <v>2</v>
      </c>
      <c r="J40">
        <v>2026</v>
      </c>
      <c r="K40" t="s">
        <v>43</v>
      </c>
      <c r="M40" s="9">
        <v>0.9</v>
      </c>
      <c r="N40" s="11"/>
      <c r="Q40" t="str">
        <f t="shared" si="0"/>
        <v/>
      </c>
    </row>
    <row r="41" spans="1:17" ht="409.5" hidden="1" x14ac:dyDescent="0.25">
      <c r="A41" t="s">
        <v>12</v>
      </c>
      <c r="B41" s="13" t="s">
        <v>9</v>
      </c>
      <c r="C41" s="3" t="s">
        <v>50</v>
      </c>
      <c r="D41" t="s">
        <v>8</v>
      </c>
      <c r="E41" s="2" t="s">
        <v>51</v>
      </c>
      <c r="F41" t="s">
        <v>30</v>
      </c>
      <c r="G41" s="2" t="s">
        <v>52</v>
      </c>
      <c r="H41" t="s">
        <v>2</v>
      </c>
      <c r="J41">
        <v>2025</v>
      </c>
      <c r="K41" t="s">
        <v>43</v>
      </c>
      <c r="L41" s="4">
        <v>56131</v>
      </c>
      <c r="M41" s="4"/>
      <c r="Q41" t="str">
        <f t="shared" si="0"/>
        <v/>
      </c>
    </row>
    <row r="42" spans="1:17" ht="409.5" hidden="1" x14ac:dyDescent="0.25">
      <c r="A42" t="s">
        <v>12</v>
      </c>
      <c r="B42" s="13" t="s">
        <v>9</v>
      </c>
      <c r="C42" s="3" t="s">
        <v>50</v>
      </c>
      <c r="D42" t="s">
        <v>8</v>
      </c>
      <c r="E42" s="2" t="s">
        <v>51</v>
      </c>
      <c r="F42" t="s">
        <v>30</v>
      </c>
      <c r="G42" s="2" t="s">
        <v>52</v>
      </c>
      <c r="H42" t="s">
        <v>2</v>
      </c>
      <c r="J42">
        <v>2026</v>
      </c>
      <c r="K42" t="s">
        <v>32</v>
      </c>
      <c r="L42" s="4"/>
      <c r="M42" s="4"/>
      <c r="Q42" t="str">
        <f t="shared" si="0"/>
        <v/>
      </c>
    </row>
    <row r="43" spans="1:17" ht="409.5" hidden="1" x14ac:dyDescent="0.25">
      <c r="A43" t="s">
        <v>12</v>
      </c>
      <c r="B43" s="13" t="s">
        <v>9</v>
      </c>
      <c r="C43" s="3" t="s">
        <v>50</v>
      </c>
      <c r="D43" t="s">
        <v>8</v>
      </c>
      <c r="E43" s="2" t="s">
        <v>51</v>
      </c>
      <c r="F43" t="s">
        <v>30</v>
      </c>
      <c r="G43" s="2" t="s">
        <v>52</v>
      </c>
      <c r="H43" t="s">
        <v>2</v>
      </c>
      <c r="J43">
        <v>2026</v>
      </c>
      <c r="K43" t="s">
        <v>33</v>
      </c>
      <c r="L43" s="4"/>
      <c r="M43" s="4"/>
      <c r="Q43" t="str">
        <f t="shared" si="0"/>
        <v/>
      </c>
    </row>
    <row r="44" spans="1:17" ht="409.5" hidden="1" x14ac:dyDescent="0.25">
      <c r="A44" t="s">
        <v>12</v>
      </c>
      <c r="B44" s="13" t="s">
        <v>9</v>
      </c>
      <c r="C44" s="3" t="s">
        <v>50</v>
      </c>
      <c r="D44" t="s">
        <v>8</v>
      </c>
      <c r="E44" s="2" t="s">
        <v>51</v>
      </c>
      <c r="F44" t="s">
        <v>30</v>
      </c>
      <c r="G44" s="2" t="s">
        <v>52</v>
      </c>
      <c r="H44" t="s">
        <v>2</v>
      </c>
      <c r="J44">
        <v>2026</v>
      </c>
      <c r="K44" t="s">
        <v>34</v>
      </c>
      <c r="L44" s="4"/>
      <c r="M44" s="4">
        <v>23478</v>
      </c>
      <c r="N44" s="4">
        <v>50648</v>
      </c>
      <c r="Q44" t="str">
        <f t="shared" si="0"/>
        <v>Cumplimiento sobre la meta</v>
      </c>
    </row>
    <row r="45" spans="1:17" ht="409.5" hidden="1" x14ac:dyDescent="0.25">
      <c r="A45" t="s">
        <v>12</v>
      </c>
      <c r="B45" s="13" t="s">
        <v>9</v>
      </c>
      <c r="C45" s="3" t="s">
        <v>50</v>
      </c>
      <c r="D45" t="s">
        <v>8</v>
      </c>
      <c r="E45" s="2" t="s">
        <v>51</v>
      </c>
      <c r="F45" t="s">
        <v>30</v>
      </c>
      <c r="G45" s="2" t="s">
        <v>52</v>
      </c>
      <c r="H45" t="s">
        <v>2</v>
      </c>
      <c r="J45">
        <v>2026</v>
      </c>
      <c r="K45" t="s">
        <v>35</v>
      </c>
      <c r="L45" s="4"/>
      <c r="M45" s="4">
        <v>23479</v>
      </c>
      <c r="N45" s="4">
        <v>50325</v>
      </c>
      <c r="Q45" t="str">
        <f t="shared" si="0"/>
        <v>Cumplimiento sobre la meta</v>
      </c>
    </row>
    <row r="46" spans="1:17" ht="409.5" hidden="1" x14ac:dyDescent="0.25">
      <c r="A46" t="s">
        <v>12</v>
      </c>
      <c r="B46" s="13" t="s">
        <v>9</v>
      </c>
      <c r="C46" s="3" t="s">
        <v>50</v>
      </c>
      <c r="D46" t="s">
        <v>8</v>
      </c>
      <c r="E46" s="2" t="s">
        <v>51</v>
      </c>
      <c r="F46" t="s">
        <v>30</v>
      </c>
      <c r="G46" s="2" t="s">
        <v>52</v>
      </c>
      <c r="H46" t="s">
        <v>2</v>
      </c>
      <c r="J46">
        <v>2026</v>
      </c>
      <c r="K46" t="s">
        <v>36</v>
      </c>
      <c r="L46" s="4"/>
      <c r="M46" s="4">
        <v>23479</v>
      </c>
      <c r="N46" s="4">
        <v>49222</v>
      </c>
      <c r="Q46" t="str">
        <f t="shared" si="0"/>
        <v>Cumplimiento sobre la meta</v>
      </c>
    </row>
    <row r="47" spans="1:17" ht="409.5" hidden="1" x14ac:dyDescent="0.25">
      <c r="A47" t="s">
        <v>12</v>
      </c>
      <c r="B47" s="13" t="s">
        <v>9</v>
      </c>
      <c r="C47" s="3" t="s">
        <v>50</v>
      </c>
      <c r="D47" t="s">
        <v>8</v>
      </c>
      <c r="E47" s="2" t="s">
        <v>51</v>
      </c>
      <c r="F47" t="s">
        <v>30</v>
      </c>
      <c r="G47" s="2" t="s">
        <v>52</v>
      </c>
      <c r="H47" t="s">
        <v>2</v>
      </c>
      <c r="J47">
        <v>2026</v>
      </c>
      <c r="K47" t="s">
        <v>37</v>
      </c>
      <c r="L47" s="4"/>
      <c r="M47" s="4">
        <v>23479</v>
      </c>
      <c r="N47" s="4">
        <v>56465</v>
      </c>
      <c r="Q47" t="str">
        <f t="shared" si="0"/>
        <v>Cumplimiento sobre la meta</v>
      </c>
    </row>
    <row r="48" spans="1:17" ht="409.5" hidden="1" x14ac:dyDescent="0.25">
      <c r="A48" t="s">
        <v>12</v>
      </c>
      <c r="B48" s="13" t="s">
        <v>9</v>
      </c>
      <c r="C48" s="3" t="s">
        <v>50</v>
      </c>
      <c r="D48" t="s">
        <v>8</v>
      </c>
      <c r="E48" s="2" t="s">
        <v>51</v>
      </c>
      <c r="F48" t="s">
        <v>30</v>
      </c>
      <c r="G48" s="2" t="s">
        <v>52</v>
      </c>
      <c r="H48" t="s">
        <v>2</v>
      </c>
      <c r="J48">
        <v>2026</v>
      </c>
      <c r="K48" t="s">
        <v>38</v>
      </c>
      <c r="L48" s="4"/>
      <c r="M48" s="4">
        <v>23479</v>
      </c>
      <c r="N48" s="4">
        <v>55809</v>
      </c>
      <c r="Q48" t="str">
        <f t="shared" si="0"/>
        <v>Cumplimiento sobre la meta</v>
      </c>
    </row>
    <row r="49" spans="1:17" ht="409.5" hidden="1" x14ac:dyDescent="0.25">
      <c r="A49" t="s">
        <v>12</v>
      </c>
      <c r="B49" s="13" t="s">
        <v>9</v>
      </c>
      <c r="C49" s="3" t="s">
        <v>50</v>
      </c>
      <c r="D49" t="s">
        <v>8</v>
      </c>
      <c r="E49" s="2" t="s">
        <v>51</v>
      </c>
      <c r="F49" t="s">
        <v>30</v>
      </c>
      <c r="G49" s="2" t="s">
        <v>52</v>
      </c>
      <c r="H49" t="s">
        <v>2</v>
      </c>
      <c r="J49">
        <v>2026</v>
      </c>
      <c r="K49" t="s">
        <v>39</v>
      </c>
      <c r="L49" s="4"/>
      <c r="M49" s="4">
        <v>23479</v>
      </c>
      <c r="N49" s="4">
        <v>82750</v>
      </c>
      <c r="Q49" t="str">
        <f t="shared" si="0"/>
        <v>Cumplimiento sobre la meta</v>
      </c>
    </row>
    <row r="50" spans="1:17" ht="409.5" hidden="1" x14ac:dyDescent="0.25">
      <c r="A50" t="s">
        <v>12</v>
      </c>
      <c r="B50" s="13" t="s">
        <v>9</v>
      </c>
      <c r="C50" s="3" t="s">
        <v>50</v>
      </c>
      <c r="D50" t="s">
        <v>8</v>
      </c>
      <c r="E50" s="2" t="s">
        <v>51</v>
      </c>
      <c r="F50" t="s">
        <v>30</v>
      </c>
      <c r="G50" s="2" t="s">
        <v>52</v>
      </c>
      <c r="H50" t="s">
        <v>2</v>
      </c>
      <c r="J50">
        <v>2026</v>
      </c>
      <c r="K50" t="s">
        <v>40</v>
      </c>
      <c r="L50" s="4"/>
      <c r="M50" s="4">
        <v>23479</v>
      </c>
      <c r="N50" s="4"/>
      <c r="Q50" t="str">
        <f t="shared" si="0"/>
        <v/>
      </c>
    </row>
    <row r="51" spans="1:17" ht="409.5" hidden="1" x14ac:dyDescent="0.25">
      <c r="A51" t="s">
        <v>12</v>
      </c>
      <c r="B51" s="13" t="s">
        <v>9</v>
      </c>
      <c r="C51" s="3" t="s">
        <v>50</v>
      </c>
      <c r="D51" t="s">
        <v>8</v>
      </c>
      <c r="E51" s="2" t="s">
        <v>51</v>
      </c>
      <c r="F51" t="s">
        <v>30</v>
      </c>
      <c r="G51" s="2" t="s">
        <v>52</v>
      </c>
      <c r="H51" t="s">
        <v>2</v>
      </c>
      <c r="J51">
        <v>2026</v>
      </c>
      <c r="K51" t="s">
        <v>41</v>
      </c>
      <c r="L51" s="4"/>
      <c r="M51" s="4">
        <v>23479</v>
      </c>
      <c r="N51" s="4"/>
      <c r="Q51" t="str">
        <f t="shared" si="0"/>
        <v/>
      </c>
    </row>
    <row r="52" spans="1:17" ht="409.5" hidden="1" x14ac:dyDescent="0.25">
      <c r="A52" t="s">
        <v>12</v>
      </c>
      <c r="B52" s="13" t="s">
        <v>9</v>
      </c>
      <c r="C52" s="3" t="s">
        <v>50</v>
      </c>
      <c r="D52" t="s">
        <v>8</v>
      </c>
      <c r="E52" s="2" t="s">
        <v>51</v>
      </c>
      <c r="F52" t="s">
        <v>30</v>
      </c>
      <c r="G52" s="2" t="s">
        <v>52</v>
      </c>
      <c r="H52" t="s">
        <v>2</v>
      </c>
      <c r="J52">
        <v>2026</v>
      </c>
      <c r="K52" t="s">
        <v>42</v>
      </c>
      <c r="L52" s="4"/>
      <c r="M52" s="4">
        <v>23479</v>
      </c>
      <c r="N52" s="4"/>
      <c r="Q52" t="str">
        <f t="shared" si="0"/>
        <v/>
      </c>
    </row>
    <row r="53" spans="1:17" ht="409.5" hidden="1" x14ac:dyDescent="0.25">
      <c r="A53" t="s">
        <v>12</v>
      </c>
      <c r="B53" s="13" t="s">
        <v>9</v>
      </c>
      <c r="C53" s="3" t="s">
        <v>50</v>
      </c>
      <c r="D53" t="s">
        <v>8</v>
      </c>
      <c r="E53" s="2" t="s">
        <v>51</v>
      </c>
      <c r="F53" t="s">
        <v>30</v>
      </c>
      <c r="G53" s="2" t="s">
        <v>52</v>
      </c>
      <c r="H53" t="s">
        <v>2</v>
      </c>
      <c r="J53">
        <v>2026</v>
      </c>
      <c r="K53" t="s">
        <v>43</v>
      </c>
      <c r="L53" s="4"/>
      <c r="M53" s="4">
        <v>23479</v>
      </c>
      <c r="N53" s="4"/>
      <c r="Q53" t="str">
        <f t="shared" si="0"/>
        <v/>
      </c>
    </row>
    <row r="54" spans="1:17" hidden="1" x14ac:dyDescent="0.25">
      <c r="A54" t="s">
        <v>12</v>
      </c>
      <c r="B54" s="13" t="s">
        <v>11</v>
      </c>
      <c r="C54" s="3" t="s">
        <v>53</v>
      </c>
      <c r="D54" t="s">
        <v>10</v>
      </c>
      <c r="F54" t="s">
        <v>30</v>
      </c>
      <c r="H54" t="s">
        <v>2</v>
      </c>
      <c r="J54">
        <v>2025</v>
      </c>
      <c r="K54" t="s">
        <v>43</v>
      </c>
      <c r="L54" s="4">
        <v>118216</v>
      </c>
      <c r="Q54" t="str">
        <f t="shared" si="0"/>
        <v/>
      </c>
    </row>
    <row r="55" spans="1:17" hidden="1" x14ac:dyDescent="0.25">
      <c r="A55" t="s">
        <v>12</v>
      </c>
      <c r="B55" s="13" t="s">
        <v>11</v>
      </c>
      <c r="C55" s="3" t="s">
        <v>53</v>
      </c>
      <c r="D55" t="s">
        <v>10</v>
      </c>
      <c r="F55" t="s">
        <v>30</v>
      </c>
      <c r="H55" t="s">
        <v>2</v>
      </c>
      <c r="J55">
        <v>2026</v>
      </c>
      <c r="K55" t="s">
        <v>32</v>
      </c>
      <c r="M55" s="4">
        <v>119694</v>
      </c>
      <c r="N55" s="5">
        <v>144860</v>
      </c>
      <c r="Q55" t="str">
        <f t="shared" si="0"/>
        <v>Cumplimiento sobre la meta</v>
      </c>
    </row>
    <row r="56" spans="1:17" hidden="1" x14ac:dyDescent="0.25">
      <c r="A56" t="s">
        <v>12</v>
      </c>
      <c r="B56" s="13" t="s">
        <v>11</v>
      </c>
      <c r="C56" s="3" t="s">
        <v>53</v>
      </c>
      <c r="D56" t="s">
        <v>10</v>
      </c>
      <c r="F56" t="s">
        <v>30</v>
      </c>
      <c r="H56" t="s">
        <v>2</v>
      </c>
      <c r="J56">
        <v>2026</v>
      </c>
      <c r="K56" t="s">
        <v>33</v>
      </c>
      <c r="M56" s="4">
        <v>121190</v>
      </c>
      <c r="N56" s="5">
        <v>109418</v>
      </c>
      <c r="Q56" t="str">
        <f t="shared" si="0"/>
        <v>Incumplimiento de meta</v>
      </c>
    </row>
    <row r="57" spans="1:17" hidden="1" x14ac:dyDescent="0.25">
      <c r="A57" t="s">
        <v>12</v>
      </c>
      <c r="B57" s="13" t="s">
        <v>11</v>
      </c>
      <c r="C57" s="3" t="s">
        <v>53</v>
      </c>
      <c r="D57" t="s">
        <v>10</v>
      </c>
      <c r="F57" t="s">
        <v>30</v>
      </c>
      <c r="H57" t="s">
        <v>2</v>
      </c>
      <c r="J57">
        <v>2026</v>
      </c>
      <c r="K57" t="s">
        <v>34</v>
      </c>
      <c r="M57" s="4">
        <v>122705</v>
      </c>
      <c r="N57" s="5">
        <v>149816</v>
      </c>
      <c r="Q57" t="str">
        <f t="shared" si="0"/>
        <v>Cumplimiento sobre la meta</v>
      </c>
    </row>
    <row r="58" spans="1:17" hidden="1" x14ac:dyDescent="0.25">
      <c r="A58" t="s">
        <v>12</v>
      </c>
      <c r="B58" s="13" t="s">
        <v>11</v>
      </c>
      <c r="C58" s="3" t="s">
        <v>53</v>
      </c>
      <c r="D58" t="s">
        <v>10</v>
      </c>
      <c r="F58" t="s">
        <v>30</v>
      </c>
      <c r="H58" t="s">
        <v>2</v>
      </c>
      <c r="J58">
        <v>2026</v>
      </c>
      <c r="K58" t="s">
        <v>35</v>
      </c>
      <c r="M58" s="4">
        <v>124239</v>
      </c>
      <c r="N58" s="4">
        <v>212032</v>
      </c>
      <c r="Q58" t="str">
        <f t="shared" si="0"/>
        <v>Cumplimiento sobre la meta</v>
      </c>
    </row>
    <row r="59" spans="1:17" hidden="1" x14ac:dyDescent="0.25">
      <c r="A59" t="s">
        <v>12</v>
      </c>
      <c r="B59" s="13" t="s">
        <v>11</v>
      </c>
      <c r="C59" s="3" t="s">
        <v>53</v>
      </c>
      <c r="D59" t="s">
        <v>10</v>
      </c>
      <c r="F59" t="s">
        <v>30</v>
      </c>
      <c r="H59" t="s">
        <v>2</v>
      </c>
      <c r="J59">
        <v>2026</v>
      </c>
      <c r="K59" t="s">
        <v>36</v>
      </c>
      <c r="M59" s="4">
        <v>125792</v>
      </c>
      <c r="N59" s="4">
        <v>62192</v>
      </c>
      <c r="Q59" t="str">
        <f t="shared" si="0"/>
        <v>Incumplimiento de meta</v>
      </c>
    </row>
    <row r="60" spans="1:17" hidden="1" x14ac:dyDescent="0.25">
      <c r="A60" t="s">
        <v>12</v>
      </c>
      <c r="B60" s="13" t="s">
        <v>11</v>
      </c>
      <c r="C60" s="3" t="s">
        <v>53</v>
      </c>
      <c r="D60" t="s">
        <v>10</v>
      </c>
      <c r="F60" t="s">
        <v>30</v>
      </c>
      <c r="H60" t="s">
        <v>2</v>
      </c>
      <c r="J60">
        <v>2026</v>
      </c>
      <c r="K60" t="s">
        <v>37</v>
      </c>
      <c r="M60" s="4">
        <v>127364</v>
      </c>
      <c r="N60" s="4">
        <v>66053</v>
      </c>
      <c r="Q60" t="str">
        <f t="shared" si="0"/>
        <v>Incumplimiento de meta</v>
      </c>
    </row>
    <row r="61" spans="1:17" hidden="1" x14ac:dyDescent="0.25">
      <c r="A61" t="s">
        <v>12</v>
      </c>
      <c r="B61" s="13" t="s">
        <v>11</v>
      </c>
      <c r="C61" s="3" t="s">
        <v>53</v>
      </c>
      <c r="D61" t="s">
        <v>10</v>
      </c>
      <c r="F61" t="s">
        <v>30</v>
      </c>
      <c r="H61" t="s">
        <v>2</v>
      </c>
      <c r="J61">
        <v>2026</v>
      </c>
      <c r="K61" t="s">
        <v>38</v>
      </c>
      <c r="M61" s="4">
        <v>128956</v>
      </c>
      <c r="N61" s="4">
        <v>107225</v>
      </c>
      <c r="Q61" t="str">
        <f t="shared" si="0"/>
        <v>Incumplimiento de meta</v>
      </c>
    </row>
    <row r="62" spans="1:17" hidden="1" x14ac:dyDescent="0.25">
      <c r="A62" t="s">
        <v>12</v>
      </c>
      <c r="B62" s="13" t="s">
        <v>11</v>
      </c>
      <c r="C62" s="3" t="s">
        <v>53</v>
      </c>
      <c r="D62" t="s">
        <v>10</v>
      </c>
      <c r="F62" t="s">
        <v>30</v>
      </c>
      <c r="H62" t="s">
        <v>2</v>
      </c>
      <c r="J62">
        <v>2026</v>
      </c>
      <c r="K62" t="s">
        <v>39</v>
      </c>
      <c r="M62" s="4">
        <v>130568</v>
      </c>
      <c r="N62" s="4">
        <v>98725</v>
      </c>
      <c r="Q62" t="str">
        <f t="shared" si="0"/>
        <v>Incumplimiento de meta</v>
      </c>
    </row>
    <row r="63" spans="1:17" hidden="1" x14ac:dyDescent="0.25">
      <c r="A63" t="s">
        <v>12</v>
      </c>
      <c r="B63" s="13" t="s">
        <v>11</v>
      </c>
      <c r="C63" s="3" t="s">
        <v>53</v>
      </c>
      <c r="D63" t="s">
        <v>10</v>
      </c>
      <c r="F63" t="s">
        <v>30</v>
      </c>
      <c r="H63" t="s">
        <v>2</v>
      </c>
      <c r="J63">
        <v>2026</v>
      </c>
      <c r="K63" t="s">
        <v>40</v>
      </c>
      <c r="M63" s="4">
        <v>132200</v>
      </c>
      <c r="Q63" t="str">
        <f t="shared" si="0"/>
        <v/>
      </c>
    </row>
    <row r="64" spans="1:17" hidden="1" x14ac:dyDescent="0.25">
      <c r="A64" t="s">
        <v>12</v>
      </c>
      <c r="B64" s="13" t="s">
        <v>11</v>
      </c>
      <c r="C64" s="3" t="s">
        <v>53</v>
      </c>
      <c r="D64" t="s">
        <v>10</v>
      </c>
      <c r="F64" t="s">
        <v>30</v>
      </c>
      <c r="H64" t="s">
        <v>2</v>
      </c>
      <c r="J64">
        <v>2026</v>
      </c>
      <c r="K64" t="s">
        <v>41</v>
      </c>
      <c r="M64" s="4">
        <v>133853</v>
      </c>
      <c r="Q64" t="str">
        <f t="shared" si="0"/>
        <v/>
      </c>
    </row>
    <row r="65" spans="1:17" hidden="1" x14ac:dyDescent="0.25">
      <c r="A65" t="s">
        <v>12</v>
      </c>
      <c r="B65" s="13" t="s">
        <v>11</v>
      </c>
      <c r="C65" s="3" t="s">
        <v>53</v>
      </c>
      <c r="D65" t="s">
        <v>10</v>
      </c>
      <c r="F65" t="s">
        <v>30</v>
      </c>
      <c r="H65" t="s">
        <v>2</v>
      </c>
      <c r="J65">
        <v>2026</v>
      </c>
      <c r="K65" t="s">
        <v>42</v>
      </c>
      <c r="M65" s="4">
        <v>135526</v>
      </c>
      <c r="Q65" t="str">
        <f t="shared" si="0"/>
        <v/>
      </c>
    </row>
    <row r="66" spans="1:17" hidden="1" x14ac:dyDescent="0.25">
      <c r="A66" t="s">
        <v>12</v>
      </c>
      <c r="B66" s="13" t="s">
        <v>11</v>
      </c>
      <c r="C66" s="3" t="s">
        <v>53</v>
      </c>
      <c r="D66" t="s">
        <v>10</v>
      </c>
      <c r="F66" t="s">
        <v>30</v>
      </c>
      <c r="H66" t="s">
        <v>2</v>
      </c>
      <c r="J66">
        <v>2026</v>
      </c>
      <c r="K66" t="s">
        <v>43</v>
      </c>
      <c r="M66" s="4">
        <v>137220</v>
      </c>
      <c r="Q66" t="str">
        <f t="shared" si="0"/>
        <v/>
      </c>
    </row>
    <row r="67" spans="1:17" hidden="1" x14ac:dyDescent="0.25">
      <c r="Q67" t="str">
        <f t="shared" ref="Q67:Q74" si="1">IF(N68="","",IF(N68&gt;M68,"Cumplimiento sobre la meta",IF(M68=N68,"Cumpliento igual a la meta",IF(N68&lt;M68,"Incumplimiento de meta"))))</f>
        <v/>
      </c>
    </row>
    <row r="68" spans="1:17" hidden="1" x14ac:dyDescent="0.25">
      <c r="Q68" t="str">
        <f t="shared" si="1"/>
        <v/>
      </c>
    </row>
    <row r="69" spans="1:17" hidden="1" x14ac:dyDescent="0.25">
      <c r="Q69" t="str">
        <f t="shared" si="1"/>
        <v/>
      </c>
    </row>
    <row r="70" spans="1:17" hidden="1" x14ac:dyDescent="0.25">
      <c r="Q70" t="str">
        <f t="shared" si="1"/>
        <v/>
      </c>
    </row>
    <row r="71" spans="1:17" hidden="1" x14ac:dyDescent="0.25">
      <c r="Q71" t="str">
        <f t="shared" si="1"/>
        <v/>
      </c>
    </row>
    <row r="72" spans="1:17" hidden="1" x14ac:dyDescent="0.25">
      <c r="Q72" t="str">
        <f t="shared" si="1"/>
        <v/>
      </c>
    </row>
    <row r="73" spans="1:17" hidden="1" x14ac:dyDescent="0.25">
      <c r="Q73" t="str">
        <f t="shared" si="1"/>
        <v/>
      </c>
    </row>
    <row r="74" spans="1:17" hidden="1" x14ac:dyDescent="0.25">
      <c r="Q74" t="str">
        <f t="shared" si="1"/>
        <v/>
      </c>
    </row>
  </sheetData>
  <autoFilter ref="A1:T74" xr:uid="{174D3942-3050-4C04-8E8E-E2AF983A6F02}">
    <filterColumn colId="1">
      <filters>
        <filter val="Porcentaje de solicitudes de Registro y/o modificación de oferta académica en el Sistema Nacional de la Información de la Educación Superior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Ivanova Solis Gordon</dc:creator>
  <cp:lastModifiedBy>Ricardo Andres Castellanos Morocho</cp:lastModifiedBy>
  <dcterms:created xsi:type="dcterms:W3CDTF">2026-09-15T14:23:59Z</dcterms:created>
  <dcterms:modified xsi:type="dcterms:W3CDTF">2026-09-18T21:31:19Z</dcterms:modified>
</cp:coreProperties>
</file>